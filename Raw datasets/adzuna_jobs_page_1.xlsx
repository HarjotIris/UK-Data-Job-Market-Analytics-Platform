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esktop\UK Jobs Project\"/>
    </mc:Choice>
  </mc:AlternateContent>
  <xr:revisionPtr revIDLastSave="0" documentId="13_ncr:1_{F1D1C8E6-A479-4350-A4CC-02830A37823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2" i="1"/>
</calcChain>
</file>

<file path=xl/sharedStrings.xml><?xml version="1.0" encoding="utf-8"?>
<sst xmlns="http://schemas.openxmlformats.org/spreadsheetml/2006/main" count="769" uniqueCount="239">
  <si>
    <t>Title</t>
  </si>
  <si>
    <t>Title_Short</t>
  </si>
  <si>
    <t>Company</t>
  </si>
  <si>
    <t>Location</t>
  </si>
  <si>
    <t>URL</t>
  </si>
  <si>
    <t>Job Description</t>
  </si>
  <si>
    <t>Skills</t>
  </si>
  <si>
    <t>Salary</t>
  </si>
  <si>
    <t>Job_Health_Insurance</t>
  </si>
  <si>
    <t>Degree</t>
  </si>
  <si>
    <t>Remote Work</t>
  </si>
  <si>
    <t>Job_via</t>
  </si>
  <si>
    <t>Job_Schedule</t>
  </si>
  <si>
    <t>Salary_rate</t>
  </si>
  <si>
    <t>City</t>
  </si>
  <si>
    <t>Microsoft Sentinel Engineer</t>
  </si>
  <si>
    <t>Software Engineer</t>
  </si>
  <si>
    <t>CONSTANT RECRUITMENT LTD</t>
  </si>
  <si>
    <t>LONDON SW1A 1AA, UK</t>
  </si>
  <si>
    <t>https://www.adzuna.co.uk/jobs/details/5502883461</t>
  </si>
  <si>
    <t>Microsoft Sentinel Engineer
Up to £70,000 DOE
Remote - MUST be UK based
Are you an experienced Microsoft Sentinel Engineer ready to take ownership of advanced security projects?
Do you have strong 3rd-line level experience across Microsoft, Azure, networking, and cloud security?
Would you like to join a fast-growing global consultancy where your expertise will help shape the future of their cybersecurity offering?
If so, this could be the perfect opportunity.</t>
  </si>
  <si>
    <t>azure</t>
  </si>
  <si>
    <t>False</t>
  </si>
  <si>
    <t>No degree mentioned</t>
  </si>
  <si>
    <t>True</t>
  </si>
  <si>
    <t>Adzuna</t>
  </si>
  <si>
    <t>Full-time</t>
  </si>
  <si>
    <t>London</t>
  </si>
  <si>
    <t>Senior Credit Strategy Analyst</t>
  </si>
  <si>
    <t>Analyst</t>
  </si>
  <si>
    <t>ZOPA BANK</t>
  </si>
  <si>
    <t>LONDON</t>
  </si>
  <si>
    <t>https://www.adzuna.co.uk/jobs/details/5502870043</t>
  </si>
  <si>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
We're incredibly proud of our achievements and none of it would be possible without the amazing team here. It's not just industry awards we're winning, we've also been named in the top three UK's Most Loved Workplaces.
If you embrace unconventional challenges, are unafraid to think differently and are driven to make an outsized impact, you'll thrive here at Zopa, so join us, and make it count. Want to see us in action? Follow us on Instagram @zopalife
Zopa are looking for a new to join our high performing credit analytics and strategy team.
This team is responsible for driving step-change improvements in credit performance by developing , , and .
Collaboration is key at Zopa which means you'll work closely with our cross-functional teams including data science, product, and engineers to , and through the application of leading-edge analytical techniques.
We look for bright individuals with a passion for translating numbers into business opportunities and delivering insights to drive decision-making - if this resonates with you,
We value face-to-face collaboration and a good work-life balance. This hybrid role requires you to come to our London office 2-3 days a week.
You'll also have the option of working from abroad for up to 120 days a year!* But no matter where you are, we'll make sure you've got everything you need to thrive, both in your work and home life, from day one.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</si>
  <si>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analytical</t>
  </si>
  <si>
    <t>£70109</t>
  </si>
  <si>
    <t>yearly</t>
  </si>
  <si>
    <t>Salesforce Developer (Mid Level)</t>
  </si>
  <si>
    <t>ALCUMUS</t>
  </si>
  <si>
    <t>MORDEN</t>
  </si>
  <si>
    <t>https://www.adzuna.co.uk/jobs/details/5502869922</t>
  </si>
  <si>
    <t>Department: Technology &amp; Product
Location: Morden, UK
Description
Building innovative solutions; enabling safer workplaces for everyone.
We'll create a safer working world, building software to support a global network of responsible buyers, suppliers and partners. At Alcumus we take the pain out of compliance for over 50,000 organisations globally, helping them protect their people, their operations, and the planet. The tech we build today, will create a better tomorrow.
is an integral member of our Salesforce team, responsible for building and customising solutions that support business goals and enhance user experiences. This role requires solid technical knowledge of Salesforce development, the ability to translate business needs into practical solutions, and a collaborative approach to working within cross-functional teams. While primarily hands-on, the Developer contributes to maintaining best practices and improving overall development efficiency
Alcumus has a where you will work from the office 3 days per week. We want you to be able to do your best work here. We emphasize providing many ways to support our team to do their best work and below are some of the perks and benefits we offer:
&gt; Enhanced Parental Leave
&gt;Generous annual leave
&gt; Healthcare Plan
&gt; Annual Giving Day - an extra day to give back to yourself or your community
&gt; Cycle-to-work Scheme
&gt;Pension scheme with employer contributions
&gt; Life Assurance - 3X base salary
&gt; Rewards Program - access to discounts and cashback
&gt; LinkedIn Learning License for upskilling &amp; development
Our recruitment team assesses and reviews all applications against the role and business needs. We believe in people having transferable and soft skills and want you to know that we do consider where an individual might not meet all the criteria, but have the aptitude and capability, nonetheless. Our priority is to ensure we set people up for success. We will make a final call based on our determining whether we can offer the necessary support to upskill or provide the developmental support needed for you to get the best out of this opportunity with us!
Alcumus is proudly an equal-opportunity employer. We are committed to ensuring that no candidate is discriminated against because of gender identity and expression, race, disability, ethnicity, sexual orientation, age, colour, region, creed, national origin, or sex. We are dedicated to growing a diverse team while continuing to create an inclusive environment where everyone feels safe and empowered to be themselves.
We're keen to ensure our hiring process allows you to be at your best, so if you need us to make any adjustments, please just let us know.</t>
  </si>
  <si>
    <t>N/A</t>
  </si>
  <si>
    <t>£59329</t>
  </si>
  <si>
    <t>Senior Product Designer - Digital CX</t>
  </si>
  <si>
    <t>Other</t>
  </si>
  <si>
    <t>SKY10 reviews</t>
  </si>
  <si>
    <t>ISLEWORTH</t>
  </si>
  <si>
    <t>https://www.adzuna.co.uk/jobs/details/5502869841</t>
  </si>
  <si>
    <t>Job Description
Want to do the best work of your life? With 24 million customers in 6 countries, make your mark at Europe's leading media and entertainment brand. A workplace where you can proudly be yourself; our people make Sky a truly exciting and inclusive place to work.
As a Senior Product Designer in our digital customer experience team, you'll deliver high-quality designs, drive improvements to digital journeys, and be accountable for outcomes that reflect our brand and meet customer needs.
Sitting within the Customer Experience Centre of Excellence, you'll support CX strategy and portfolio design excellence across the UK &amp; Ireland. From joining Sky to engaging with our latest services, we're driven by one purpose: to create better experiences for our customers.
Please include portfolio/content showing evidence of your experience across these four areas:
There's one thing people can't stop talking about when it comes to : the perks. Here's a taster:
The hybrid working expectations for this role are 3 days in the office per week.
At Sky, we want to be a community that thrives by being together. Flexible working remains a key part of that. We want our people to have the best of both worlds - time working at home, as well as time in the office.
Our Osterley Campus is a 10-minute walk from Syon Lane train station. Or you can hop on one of our free shuttle buses that run to and from Osterley, Gunnersbury, Ealing Broadway and South Ealing tube stations. There are also plenty of bike shelters and showers.
On campus, you'll find 13 subsidised restaurants, cafes, and a Waitrose. You can keep in shape at our subsidised gym, catch the latest shows and movies at our cinema, get your car washed, and even get pampered at our beauty salon.
Our spacious Leeds tech hub is less than a mile from Leeds train station. There's plenty of parking in the surrounding streets and at the nearby CitiPark. Need a break? You can blow off steam over a game of pool or table tennis, and stay fit at our subsidised gym.
At Sky we don't just look at your CV. We're more focused on who you are and your potential. We also know that everyone has a life outside work, so we're happy to discuss flexible working.
We are a Disability Confident Accredited Employer, and welcome and encourage applications from all candidates. We will look to ensure a fair and consistent experience for all and will make reasonable adjustments to support you where appropriate. Please flag any adjustments you need to your recruiter as early as you can.
Apply now to build an amazing career and be part of a brilliant team. We can't wait to hear from you.
To find out more about working with us, search on social media. A job you love to talk about.
Just so you know: if your application is successful, we'll ask you to complete a criminal record check. And depending on the role you have applied for and the nature of any convictions you may have, we might have to withdraw the offer.</t>
  </si>
  <si>
    <t>excel, git, rest</t>
  </si>
  <si>
    <t>£51056</t>
  </si>
  <si>
    <t>Data Engineer</t>
  </si>
  <si>
    <t>NORTON BLAKE</t>
  </si>
  <si>
    <t>CITY OF LONDON, LONDON</t>
  </si>
  <si>
    <t>https://www.adzuna.co.uk/jobs/land/ad/5502864227?se=TN3crxnF8BGYhs-l41n9CA&amp;title=Data_Engineer&amp;v=A003895AEAAA72817813E079A68989C6E94F90C8</t>
  </si>
  <si>
    <t>Description not available</t>
  </si>
  <si>
    <t>£56487</t>
  </si>
  <si>
    <t>Data Analyst</t>
  </si>
  <si>
    <t>BURMAN RECRUITMENT</t>
  </si>
  <si>
    <t>https://www.adzuna.co.uk/jobs/land/ad/5502864131?se=TN3crxnF8BGYhs-l41n9CA&amp;title=Data_Analyst&amp;v=3955745C65DF54DB4F60551B8021B3A49D749495</t>
  </si>
  <si>
    <t>£51230</t>
  </si>
  <si>
    <t>Business Analyst with Sage Intacct</t>
  </si>
  <si>
    <t>Business Analyst</t>
  </si>
  <si>
    <t>AVANCE CONSULTING</t>
  </si>
  <si>
    <t>https://www.adzuna.co.uk/jobs/land/ad/5502864112?se=TN3crxnF8BGYhs-l41n9CA&amp;title=Business_Analyst_with_Sage_Intacct&amp;v=0FBFB60E3A82BB0F976DFA0B5B297BE218373B80</t>
  </si>
  <si>
    <t>£52755</t>
  </si>
  <si>
    <t>Risk Developer – Global Multi-Strategy Hedge Fund - Market Leading Compensation - London</t>
  </si>
  <si>
    <t>MONDRIAN ALPHA</t>
  </si>
  <si>
    <t>https://www.adzuna.co.uk/jobs/land/ad/5502864040?se=TN3crxnF8BGYhs-l41n9CA&amp;title=Risk_Developer_%E2%80%93_Global_Multi-Strategy_Hedge_Fund_-_Market_Leading_Compensation_-_London&amp;v=41BAB3EFBD1057540732BF7289B2CA468BB5794A</t>
  </si>
  <si>
    <t>£66199</t>
  </si>
  <si>
    <t>Account Director - EMEA (London-based)</t>
  </si>
  <si>
    <t>B2B IQ</t>
  </si>
  <si>
    <t>https://www.adzuna.co.uk/jobs/land/ad/5502864017?se=TN3crxnF8BGYhs-l41n9CA&amp;title=Account_Director_-_EMEA_%28London-based%29&amp;v=A64F26DD4CF77C7EA25E2E67D923F66F0C9EAB92</t>
  </si>
  <si>
    <t>£62611</t>
  </si>
  <si>
    <t>Data Specialist (SC Cleared)</t>
  </si>
  <si>
    <t>ARETI GROUP | B CORP™</t>
  </si>
  <si>
    <t>https://www.adzuna.co.uk/jobs/land/ad/5502863899?se=TN3crxnF8BGYhs-l41n9CA&amp;title=Data_Specialist_%28SC_Cleared%29&amp;v=396B1EA72FC49E5D0E952CC4916C3D475F8E1583</t>
  </si>
  <si>
    <t>£57620</t>
  </si>
  <si>
    <t>Transformation Migration Analyst</t>
  </si>
  <si>
    <t>GIOS TECHNOLOGY</t>
  </si>
  <si>
    <t>https://www.adzuna.co.uk/jobs/land/ad/5502863276?se=TN3crxnF8BGYhs-l41n9CA&amp;title=Transformation_Migration_Analyst&amp;v=F1E8D6731CDF330E22D32D406D1A376990337D8C</t>
  </si>
  <si>
    <t>£61276</t>
  </si>
  <si>
    <t>Business Analyst – Commodities Trading House | Physical Commodities (LNG, Coal, Freight, Oil</t>
  </si>
  <si>
    <t>VIRTUETECH RECRUITMENT GROUP</t>
  </si>
  <si>
    <t>https://www.adzuna.co.uk/jobs/land/ad/5502863197?se=TN3crxnF8BGYhs-l41n9CA&amp;title=Business_Analyst_%E2%80%93_Commodities_Trading_House_%7C_Physical_Commodities_%28LNG%2C_Coal%2C_Freight%2C_Oil&amp;v=99B205DC7144EBA0064B4D59789D77D5AB47372D</t>
  </si>
  <si>
    <t>£78823</t>
  </si>
  <si>
    <t>Data Transformation Analyst - 6 Month FTC (Remote)</t>
  </si>
  <si>
    <t>DAVIES TALENT SOLUTIONS</t>
  </si>
  <si>
    <t>EAST LONDON, LONDON</t>
  </si>
  <si>
    <t>https://www.adzuna.co.uk/jobs/land/ad/5502862385?se=TN3crxnF8BGYhs-l41n9CA&amp;title=Data_Transformation_Analyst_-_6_Month_FTC_%28Remote%29&amp;v=182DE97168B4F48487006292D6B67EDCE70DC63F</t>
  </si>
  <si>
    <t>£44647</t>
  </si>
  <si>
    <t>N CONSULTING GLOBAL</t>
  </si>
  <si>
    <t>https://www.adzuna.co.uk/jobs/land/ad/5502862386?se=TN3crxnF8BGYhs-l41n9CA&amp;title=Data_Analyst&amp;v=1231AE037B1AC23A25734F040CDB5311EF27A591</t>
  </si>
  <si>
    <t>£46396</t>
  </si>
  <si>
    <t>Risk Analyst - Global Insurer</t>
  </si>
  <si>
    <t>Risk Analyst</t>
  </si>
  <si>
    <t>WOODLAND PARTNERS</t>
  </si>
  <si>
    <t>https://www.adzuna.co.uk/jobs/land/ad/5502861950?se=TN3crxnF8BGYhs-l41n9CA&amp;title=Risk_Analyst_-_Global_Insurer&amp;v=EF6D2A74855DBE7B7F554BD43ADC81C97E26D541</t>
  </si>
  <si>
    <t>£60843</t>
  </si>
  <si>
    <t>Strategy and Investment Analyst - Music</t>
  </si>
  <si>
    <t>HANDLE RECRUITMENT</t>
  </si>
  <si>
    <t>LONDON, UK</t>
  </si>
  <si>
    <t>https://www.adzuna.co.uk/jobs/land/ad/5502861866?se=TN3crxnF8BGYhs-l41n9CA&amp;title=Strategy_and_Investment_Analyst_-_Music&amp;v=5D1157C22E90D9FA8CFC5609C668F1A2CE6B2630</t>
  </si>
  <si>
    <t>£69018</t>
  </si>
  <si>
    <t>Data Scientist</t>
  </si>
  <si>
    <t>EXPERIS UK</t>
  </si>
  <si>
    <t>https://www.adzuna.co.uk/jobs/land/ad/5502861740?se=TN3crxnF8BGYhs-l41n9CA&amp;title=Data_Scientist&amp;v=8B93A82ED9EE6E770925B3D275551ABA975EA2AB</t>
  </si>
  <si>
    <t>£57429</t>
  </si>
  <si>
    <t>Senior Data Analyst</t>
  </si>
  <si>
    <t>HARNHAM</t>
  </si>
  <si>
    <t>https://www.adzuna.co.uk/jobs/land/ad/5502861485?se=TN3crxnF8BGYhs-l41n9CA&amp;title=Senior_Data_Analyst&amp;v=3912A5C73687CCA17291F6D9F3252786D9E755C6</t>
  </si>
  <si>
    <t>£63017</t>
  </si>
  <si>
    <t>Technical Business Analyst</t>
  </si>
  <si>
    <t>PROS2WORK</t>
  </si>
  <si>
    <t>https://www.adzuna.co.uk/jobs/land/ad/5502861419?se=TN3crxnF8BGYhs-l41n9CA&amp;title=Technical_Business_Analyst&amp;v=D6DB03A1FDD4976D9E42EB5DD6332296C3C7C793</t>
  </si>
  <si>
    <t>£48959</t>
  </si>
  <si>
    <t>Regulatory Business Analyst</t>
  </si>
  <si>
    <t>NOVATUS GLOBAL</t>
  </si>
  <si>
    <t>https://www.adzuna.co.uk/jobs/land/ad/5502861449?se=TN3crxnF8BGYhs-l41n9CA&amp;title=Regulatory_Business_Analyst&amp;v=ED7DB6BC1C547C0C3E0693DC346CCD5764A3B5F8</t>
  </si>
  <si>
    <t>£60659</t>
  </si>
  <si>
    <t>Operations, Importation &amp; Logistics Manager-London based</t>
  </si>
  <si>
    <t>THE FREED FROM COMPANY</t>
  </si>
  <si>
    <t>https://www.adzuna.co.uk/jobs/land/ad/5502861395?se=TN3crxnF8BGYhs-l41n9CA&amp;title=Operations%2C_Importation_%26_Logistics_Manager-London_based&amp;v=F34044895861A7B4F49F30C5140480E55E25D4A8</t>
  </si>
  <si>
    <t>£38113</t>
  </si>
  <si>
    <t>QUALIENT TECHNOLOGY SOLUTIONS UK LIMITED</t>
  </si>
  <si>
    <t>https://www.adzuna.co.uk/jobs/land/ad/5502861323?se=TN3crxnF8BGYhs-l41n9CA&amp;title=Business_Analyst&amp;v=5C69A31C8BFD3404AAA9634AD322206BF9D33C1B</t>
  </si>
  <si>
    <t>£43093</t>
  </si>
  <si>
    <t>Analytics Consultant - Marketing Mix Modelling</t>
  </si>
  <si>
    <t>PEAPLE TALENT</t>
  </si>
  <si>
    <t>https://www.adzuna.co.uk/jobs/land/ad/5502861297?se=TN3crxnF8BGYhs-l41n9CA&amp;title=Analytics_Consultant_-_Marketing_Mix_Modelling&amp;v=6D3874DC05DDDB9612FE09A920D21B1D653B1ECE</t>
  </si>
  <si>
    <t>£64638</t>
  </si>
  <si>
    <t>Data Architect</t>
  </si>
  <si>
    <t>RANDSTAD DIGITAL</t>
  </si>
  <si>
    <t>https://www.adzuna.co.uk/jobs/land/ad/5502861254?se=TN3crxnF8BGYhs-l41n9CA&amp;title=Data_Architect&amp;v=FE30252A3001E5CF8BD71437D146A6316134C639</t>
  </si>
  <si>
    <t>£54263</t>
  </si>
  <si>
    <t>Information Security - FinTech - £70K</t>
  </si>
  <si>
    <t>OLIVER BERNARD</t>
  </si>
  <si>
    <t>https://www.adzuna.co.uk/jobs/land/ad/5502861127?se=TN3crxnF8BGYhs-l41n9CA&amp;title=Information_Security_-_FinTech_-_%C2%A370K&amp;v=562E4D26F41D9294C16C80AD6B63E4A7E4C42937</t>
  </si>
  <si>
    <t>£71573</t>
  </si>
  <si>
    <t>PS Consultant - Junior Power ON Functional Consultant</t>
  </si>
  <si>
    <t>INSIGHTSOFTWARE</t>
  </si>
  <si>
    <t>https://www.adzuna.co.uk/jobs/land/ad/5502861081?se=TN3crxnF8BGYhs-l41n9CA&amp;title=PS_Consultant_-_Junior_Power_ON_Functional_Consultant&amp;v=153738E637E2899CADC064C55974FDC335550904</t>
  </si>
  <si>
    <t>£42799</t>
  </si>
  <si>
    <t>AI Experience Analyst</t>
  </si>
  <si>
    <t>SOTALENT</t>
  </si>
  <si>
    <t>https://www.adzuna.co.uk/jobs/land/ad/5502860930?se=TN3crxnF8BGYhs-l41n9CA&amp;title=AI_Experience_Analyst&amp;v=3F25DADC14DF1CBAFCB4DCA68C88064C669A31D7</t>
  </si>
  <si>
    <t>£50663</t>
  </si>
  <si>
    <t>Business Analyst - fixed term 6 contract</t>
  </si>
  <si>
    <t>FAIRPLAY SPORTS MEDIA</t>
  </si>
  <si>
    <t>https://www.adzuna.co.uk/jobs/land/ad/5502860936?se=TN3crxnF8BGYhs-l41n9CA&amp;title=Business_Analyst_-_fixed_term_6_contract&amp;v=7354754E88EA68CB54E5A683EDF96F6EB5B84318</t>
  </si>
  <si>
    <t>£39290</t>
  </si>
  <si>
    <t>Diligence Manager</t>
  </si>
  <si>
    <t>DOVETAIL &amp; SLATE | B CORP™</t>
  </si>
  <si>
    <t>TWICKENHAM, UK</t>
  </si>
  <si>
    <t>https://www.adzuna.co.uk/jobs/land/ad/5502860914?se=TN3crxnF8BGYhs-l41n9CA&amp;title=Diligence_Manager&amp;v=9FEF9C1033B6D5D2180F32E17B3BAA300C1818E6</t>
  </si>
  <si>
    <t>£43948</t>
  </si>
  <si>
    <t>Royalties Analyst - Music</t>
  </si>
  <si>
    <t>https://www.adzuna.co.uk/jobs/land/ad/5502860853?se=TN3crxnF8BGYhs-l41n9CA&amp;title=Royalties_Analyst_-_Music&amp;v=ACF4E379C6AA4A5F6FFD0C583EADDD9983E6ECD3</t>
  </si>
  <si>
    <t>£35525</t>
  </si>
  <si>
    <t>Senior Workday Analyst</t>
  </si>
  <si>
    <t>CITY OF LONDON, UK</t>
  </si>
  <si>
    <t>https://www.adzuna.co.uk/jobs/land/ad/5502860832?se=TN3crxnF8BGYhs-l41n9CA&amp;title=Senior_Workday_Analyst&amp;v=91A6A47452D01367B26E1393E13A9D69352E573E</t>
  </si>
  <si>
    <t>£56995</t>
  </si>
  <si>
    <t>LA FOSSE</t>
  </si>
  <si>
    <t>https://www.adzuna.co.uk/jobs/land/ad/5502860492?se=TN3crxnF8BGYhs-l41n9CA&amp;title=Data_Analyst&amp;v=DF92F1705771C892FF3C420BF63F4E9D94FB59F8</t>
  </si>
  <si>
    <t>£57912</t>
  </si>
  <si>
    <t>Business Performance Analyst</t>
  </si>
  <si>
    <t>ALTEN LTD - UK</t>
  </si>
  <si>
    <t>https://www.adzuna.co.uk/jobs/land/ad/5502860425?se=TN3crxnF8BGYhs-l41n9CA&amp;title=Business_Performance_Analyst&amp;v=9B99C59CD9C7ADD78575E88F9280974B4D66E628</t>
  </si>
  <si>
    <t>£52890</t>
  </si>
  <si>
    <t>LEXISNEXIS LEGAL</t>
  </si>
  <si>
    <t>https://www.adzuna.co.uk/jobs/land/ad/5502860385?se=TN3crxnF8BGYhs-l41n9CA&amp;title=Data_Analyst&amp;v=793A46A69D099C73B825F9E8E0ABB7A01349E26B</t>
  </si>
  <si>
    <t>£55551</t>
  </si>
  <si>
    <t>SQL/Braze Analyst - Segmentation</t>
  </si>
  <si>
    <t>ADVANCED RESOURCE MANAGERS</t>
  </si>
  <si>
    <t>https://www.adzuna.co.uk/jobs/land/ad/5502860353?se=TN3crxnF8BGYhs-l41n9CA&amp;title=SQL%2FBraze_Analyst_-_Segmentation&amp;v=FAA10EB5EEC5B4BCBB23DB5541C5E865E4925393</t>
  </si>
  <si>
    <t>£64542</t>
  </si>
  <si>
    <t>Inventory Analyst</t>
  </si>
  <si>
    <t>VERTICAL ADVANTAGE</t>
  </si>
  <si>
    <t>https://www.adzuna.co.uk/jobs/land/ad/5502860264?se=TN3crxnF8BGYhs-l41n9CA&amp;title=Inventory_Analyst&amp;v=E61FFE0093DE8E9ADF30FB9F080A189C810FBDDE</t>
  </si>
  <si>
    <t>£34121</t>
  </si>
  <si>
    <t>Quant Developer - Commodities trading</t>
  </si>
  <si>
    <t>Quantitative Analyst</t>
  </si>
  <si>
    <t>SARAGOSSA</t>
  </si>
  <si>
    <t>https://www.adzuna.co.uk/jobs/land/ad/5502859990?se=TN3crxnF8BGYhs-l41n9CA&amp;title=Quant_Developer_-_Commodities_trading&amp;v=7E4C7877E94B42C51F493C8E8CC25ADE4EB25774</t>
  </si>
  <si>
    <t>£76794</t>
  </si>
  <si>
    <t>ABF Analyst/Associate at Large US PE Fund</t>
  </si>
  <si>
    <t>TALFLOW.AI</t>
  </si>
  <si>
    <t>https://www.adzuna.co.uk/jobs/land/ad/5502860016?se=TN3crxnF8BGYhs-l41n9CA&amp;title=ABF_Analyst%2FAssociate_at_Large_US_PE_Fund&amp;v=CB72680866A1313C3C221BCF96A74E44C15308D9</t>
  </si>
  <si>
    <t>£68788</t>
  </si>
  <si>
    <t>Trading Analyst</t>
  </si>
  <si>
    <t>CHAPMAN TATE ASSOCIATES</t>
  </si>
  <si>
    <t>https://www.adzuna.co.uk/jobs/land/ad/5502859882?se=TN3crxnF8BGYhs-l41n9CA&amp;title=Trading_Analyst&amp;v=F5A931665F2577BAF32111A309CEB94A63285725</t>
  </si>
  <si>
    <t>£59790</t>
  </si>
  <si>
    <t>Senior Business Analyst</t>
  </si>
  <si>
    <t>INTEC SELECT</t>
  </si>
  <si>
    <t>https://www.adzuna.co.uk/jobs/land/ad/5502859898?se=TN3crxnF8BGYhs-l41n9CA&amp;title=Senior_Business_Analyst&amp;v=9FCEE2479E9BC4EB2F4C70098C61BF59E035D55A</t>
  </si>
  <si>
    <t>£77203</t>
  </si>
  <si>
    <t>Dotnet Developer</t>
  </si>
  <si>
    <t>WISEMAN FAMILY OFFICE</t>
  </si>
  <si>
    <t>https://www.adzuna.co.uk/jobs/land/ad/5502859817?se=TN3crxnF8BGYhs-l41n9CA&amp;title=Dotnet_Developer&amp;v=5D23A50A85AC1F9D5397D909D285299D580C0CAD</t>
  </si>
  <si>
    <t>£51034</t>
  </si>
  <si>
    <t>SPHERE DIGITAL RECRUITMENT GROUP</t>
  </si>
  <si>
    <t>https://www.adzuna.co.uk/jobs/land/ad/5502859797?se=TN3crxnF8BGYhs-l41n9CA&amp;title=Data_Analyst&amp;v=022EE88D8078A01F166BF39CB44A08D4717746BF</t>
  </si>
  <si>
    <t>£45362</t>
  </si>
  <si>
    <t>HANSON LEE</t>
  </si>
  <si>
    <t>https://www.adzuna.co.uk/jobs/land/ad/5502859742?se=TN3crxnF8BGYhs-l41n9CA&amp;title=Business_Analyst&amp;v=6158A096BE055CD469C55024BB64F1EB5255640D</t>
  </si>
  <si>
    <t>£43438</t>
  </si>
  <si>
    <t>BURNS SHEEHAN</t>
  </si>
  <si>
    <t>https://www.adzuna.co.uk/jobs/land/ad/5502859701?se=TN3crxnF8BGYhs-l41n9CA&amp;title=Data_Analyst&amp;v=720E2FF80E6D90E7FED04F614E254441FF521BFE</t>
  </si>
  <si>
    <t>£55963</t>
  </si>
  <si>
    <t>Marketing Data Analyst</t>
  </si>
  <si>
    <t>MATCH DIGITAL</t>
  </si>
  <si>
    <t>https://www.adzuna.co.uk/jobs/land/ad/5502859602?se=TN3crxnF8BGYhs-l41n9CA&amp;title=Marketing_Data_Analyst&amp;v=A99399BE1C4ADFFFD1A860E2B5C5C86B654263CA</t>
  </si>
  <si>
    <t>£41813</t>
  </si>
  <si>
    <t>Human Resources Information System Specialist (Successfactors)</t>
  </si>
  <si>
    <t>CMS DISTRIBUTION</t>
  </si>
  <si>
    <t>https://www.adzuna.co.uk/jobs/land/ad/5502859400?se=TN3crxnF8BGYhs-l41n9CA&amp;title=Human_Resources_Information_System_Specialist_%28Successfactors%29&amp;v=670D9D72BC5231FEBB075BE660AD875D30BA2AE1</t>
  </si>
  <si>
    <t>£50855</t>
  </si>
  <si>
    <t>Senior Customer Analyst - CDM</t>
  </si>
  <si>
    <t>https://www.adzuna.co.uk/jobs/land/ad/5502859361?se=TN3crxnF8BGYhs-l41n9CA&amp;title=Senior_Customer_Analyst_-_CDM&amp;v=F4C03BBD588953D3D4734B473F124CDAA32020C4</t>
  </si>
  <si>
    <t>£54629</t>
  </si>
  <si>
    <t>Test Analyst</t>
  </si>
  <si>
    <t>https://www.adzuna.co.uk/jobs/land/ad/5502859254?se=TN3crxnF8BGYhs-l41n9CA&amp;title=Test_Analyst&amp;v=9EA6C4E661ECB674912F2868818843B53AB85B8D</t>
  </si>
  <si>
    <t>£46371</t>
  </si>
  <si>
    <t>Python Developer</t>
  </si>
  <si>
    <t>ALEXANDER ASH CONSULTING</t>
  </si>
  <si>
    <t>https://www.adzuna.co.uk/jobs/land/ad/5502859237?se=TN3crxnF8BGYhs-l41n9CA&amp;title=Python_Developer&amp;v=821B7EE5377D7154D009C244E9D17B0E7487F326</t>
  </si>
  <si>
    <t>£52511</t>
  </si>
  <si>
    <t>Quantitative Researcher</t>
  </si>
  <si>
    <t>VENTURE UP</t>
  </si>
  <si>
    <t>https://www.adzuna.co.uk/jobs/land/ad/5502859061?se=TN3crxnF8BGYhs-l41n9CA&amp;title=Quantitative_Researcher&amp;v=FB0C030C89EEA9E5941A74ACBA703E3EB04B81BE</t>
  </si>
  <si>
    <t>£64490</t>
  </si>
  <si>
    <t>Job_Health_Insurance_Cleaned</t>
  </si>
  <si>
    <t>Skills_Cleaned</t>
  </si>
  <si>
    <t>Salary_Cleaned</t>
  </si>
  <si>
    <t>Degree_Cleaned</t>
  </si>
  <si>
    <t>Remote_Work_Cleaned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</si>
</sst>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
  <sheetViews>
    <sheetView tabSelected="1" topLeftCell="J1" workbookViewId="0">
      <selection activeCell="S1" sqref="S1:S1048576"/>
    </sheetView>
  </sheetViews>
  <sheetFormatPr defaultRowHeight="14.4" x14ac:dyDescent="0.3"/>
  <cols>
    <col min="1" max="1" width="78.6640625" bestFit="1" customWidth="1"/>
    <col min="2" max="2" width="20" bestFit="1" customWidth="1"/>
    <col min="3" max="3" width="42.44140625" bestFit="1" customWidth="1"/>
    <col min="4" max="4" width="23.88671875" bestFit="1" customWidth="1"/>
    <col min="5" max="5" width="233" bestFit="1" customWidth="1"/>
    <col min="6" max="6" width="255.77734375" bestFit="1" customWidth="1"/>
    <col min="7" max="7" width="12.109375" bestFit="1" customWidth="1"/>
    <col min="8" max="8" width="7.44140625" bestFit="1" customWidth="1"/>
    <col min="9" max="9" width="19.77734375" bestFit="1" customWidth="1"/>
    <col min="10" max="10" width="18.88671875" bestFit="1" customWidth="1"/>
    <col min="11" max="11" width="12.5546875" bestFit="1" customWidth="1"/>
    <col min="12" max="12" width="7.33203125" bestFit="1" customWidth="1"/>
    <col min="13" max="13" width="12.5546875" bestFit="1" customWidth="1"/>
    <col min="14" max="14" width="12.77734375" bestFit="1" customWidth="1"/>
    <col min="15" max="15" width="7.109375" bestFit="1" customWidth="1"/>
    <col min="16" max="16" width="27.77734375" bestFit="1" customWidth="1"/>
    <col min="17" max="17" width="23.88671875" bestFit="1" customWidth="1"/>
    <col min="18" max="18" width="14" bestFit="1" customWidth="1"/>
    <col min="19" max="19" width="18.88671875" bestFit="1" customWidth="1"/>
    <col min="20" max="20" width="21.1093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234</v>
      </c>
      <c r="Q1" s="2" t="s">
        <v>235</v>
      </c>
      <c r="R1" s="2" t="s">
        <v>236</v>
      </c>
      <c r="S1" s="2" t="s">
        <v>237</v>
      </c>
      <c r="T1" s="2" t="s">
        <v>238</v>
      </c>
    </row>
    <row r="2" spans="1:20" x14ac:dyDescent="0.3">
      <c r="A2" t="s">
        <v>15</v>
      </c>
      <c r="B2" t="s">
        <v>16</v>
      </c>
      <c r="C2" t="s">
        <v>17</v>
      </c>
      <c r="D2" t="s">
        <v>18</v>
      </c>
      <c r="E2" t="s">
        <v>19</v>
      </c>
      <c r="F2" t="s">
        <v>20</v>
      </c>
      <c r="G2" t="s">
        <v>21</v>
      </c>
      <c r="H2" s="3">
        <v>55090</v>
      </c>
      <c r="I2" t="s">
        <v>22</v>
      </c>
      <c r="J2" t="s">
        <v>23</v>
      </c>
      <c r="K2" t="s">
        <v>24</v>
      </c>
      <c r="L2" t="s">
        <v>25</v>
      </c>
      <c r="M2" t="s">
        <v>26</v>
      </c>
      <c r="N2" t="s">
        <v>36</v>
      </c>
      <c r="O2" t="s">
        <v>27</v>
      </c>
      <c r="P2" t="str">
        <f>IF(I2="N/A","False",I2)</f>
        <v>False</v>
      </c>
      <c r="Q2" t="str">
        <f t="shared" ref="Q2:Q33" si="0">IF(G2="N/A","excel, sql, tableau, power BI", G2)</f>
        <v>azure</v>
      </c>
      <c r="R2">
        <f>VALUE(SUBSTITUTE(H2,"£",""))</f>
        <v>55090</v>
      </c>
      <c r="S2" t="str">
        <f>IF(J2="N/A", "No degree mentioned", J2)</f>
        <v>No degree mentioned</v>
      </c>
      <c r="T2" t="str">
        <f>IF(K2="N/A","False",K2)</f>
        <v>True</v>
      </c>
    </row>
    <row r="3" spans="1:20" x14ac:dyDescent="0.3">
      <c r="A3" t="s">
        <v>28</v>
      </c>
      <c r="B3" t="s">
        <v>29</v>
      </c>
      <c r="C3" t="s">
        <v>30</v>
      </c>
      <c r="D3" t="s">
        <v>31</v>
      </c>
      <c r="E3" t="s">
        <v>32</v>
      </c>
      <c r="F3" t="s">
        <v>33</v>
      </c>
      <c r="G3" t="s">
        <v>34</v>
      </c>
      <c r="H3" t="s">
        <v>35</v>
      </c>
      <c r="I3" t="s">
        <v>22</v>
      </c>
      <c r="J3" t="s">
        <v>23</v>
      </c>
      <c r="K3" t="s">
        <v>24</v>
      </c>
      <c r="L3" t="s">
        <v>25</v>
      </c>
      <c r="M3" t="s">
        <v>26</v>
      </c>
      <c r="N3" t="s">
        <v>36</v>
      </c>
      <c r="O3" t="s">
        <v>27</v>
      </c>
      <c r="P3" t="str">
        <f t="shared" ref="P3:P51" si="1">IF(I3="N/A","False",I3)</f>
        <v>False</v>
      </c>
      <c r="Q3" t="str">
        <f t="shared" si="0"/>
        <v>analytical</v>
      </c>
      <c r="R3">
        <f t="shared" ref="R3:R51" si="2">VALUE(SUBSTITUTE(H3,"£",""))</f>
        <v>70109</v>
      </c>
      <c r="S3" t="str">
        <f t="shared" ref="S3:S51" si="3">IF(J3="N/A", "No degree mentioned", J3)</f>
        <v>No degree mentioned</v>
      </c>
      <c r="T3" t="str">
        <f t="shared" ref="T3:T51" si="4">IF(K3="N/A","False",K3)</f>
        <v>True</v>
      </c>
    </row>
    <row r="4" spans="1:20" x14ac:dyDescent="0.3">
      <c r="A4" t="s">
        <v>37</v>
      </c>
      <c r="B4" t="s">
        <v>16</v>
      </c>
      <c r="C4" t="s">
        <v>38</v>
      </c>
      <c r="D4" t="s">
        <v>39</v>
      </c>
      <c r="E4" t="s">
        <v>40</v>
      </c>
      <c r="F4" t="s">
        <v>41</v>
      </c>
      <c r="G4" t="s">
        <v>42</v>
      </c>
      <c r="H4" t="s">
        <v>43</v>
      </c>
      <c r="I4" t="s">
        <v>22</v>
      </c>
      <c r="J4" t="s">
        <v>23</v>
      </c>
      <c r="K4" t="s">
        <v>22</v>
      </c>
      <c r="L4" t="s">
        <v>25</v>
      </c>
      <c r="M4" t="s">
        <v>26</v>
      </c>
      <c r="N4" t="s">
        <v>36</v>
      </c>
      <c r="O4" t="s">
        <v>27</v>
      </c>
      <c r="P4" t="str">
        <f t="shared" si="1"/>
        <v>False</v>
      </c>
      <c r="Q4" t="str">
        <f t="shared" si="0"/>
        <v>excel, sql, tableau, power BI</v>
      </c>
      <c r="R4">
        <f t="shared" si="2"/>
        <v>59329</v>
      </c>
      <c r="S4" t="str">
        <f t="shared" si="3"/>
        <v>No degree mentioned</v>
      </c>
      <c r="T4" t="str">
        <f t="shared" si="4"/>
        <v>False</v>
      </c>
    </row>
    <row r="5" spans="1:20" x14ac:dyDescent="0.3">
      <c r="A5" t="s">
        <v>44</v>
      </c>
      <c r="B5" t="s">
        <v>45</v>
      </c>
      <c r="C5" t="s">
        <v>46</v>
      </c>
      <c r="D5" t="s">
        <v>47</v>
      </c>
      <c r="E5" t="s">
        <v>48</v>
      </c>
      <c r="F5" t="s">
        <v>49</v>
      </c>
      <c r="G5" t="s">
        <v>50</v>
      </c>
      <c r="H5" t="s">
        <v>51</v>
      </c>
      <c r="I5" t="s">
        <v>22</v>
      </c>
      <c r="J5" t="s">
        <v>23</v>
      </c>
      <c r="K5" t="s">
        <v>24</v>
      </c>
      <c r="L5" t="s">
        <v>25</v>
      </c>
      <c r="M5" t="s">
        <v>26</v>
      </c>
      <c r="N5" t="s">
        <v>36</v>
      </c>
      <c r="O5" t="s">
        <v>27</v>
      </c>
      <c r="P5" t="str">
        <f t="shared" si="1"/>
        <v>False</v>
      </c>
      <c r="Q5" t="str">
        <f t="shared" si="0"/>
        <v>excel, git, rest</v>
      </c>
      <c r="R5">
        <f t="shared" si="2"/>
        <v>51056</v>
      </c>
      <c r="S5" t="str">
        <f t="shared" si="3"/>
        <v>No degree mentioned</v>
      </c>
      <c r="T5" t="str">
        <f t="shared" si="4"/>
        <v>True</v>
      </c>
    </row>
    <row r="6" spans="1:20" x14ac:dyDescent="0.3">
      <c r="A6" t="s">
        <v>52</v>
      </c>
      <c r="B6" t="s">
        <v>52</v>
      </c>
      <c r="C6" t="s">
        <v>53</v>
      </c>
      <c r="D6" t="s">
        <v>54</v>
      </c>
      <c r="E6" t="s">
        <v>55</v>
      </c>
      <c r="F6" t="s">
        <v>56</v>
      </c>
      <c r="G6" t="s">
        <v>42</v>
      </c>
      <c r="H6" t="s">
        <v>57</v>
      </c>
      <c r="I6" t="s">
        <v>42</v>
      </c>
      <c r="J6" t="s">
        <v>42</v>
      </c>
      <c r="K6" t="s">
        <v>42</v>
      </c>
      <c r="L6" t="s">
        <v>25</v>
      </c>
      <c r="M6" t="s">
        <v>26</v>
      </c>
      <c r="N6" t="s">
        <v>36</v>
      </c>
      <c r="O6" t="s">
        <v>27</v>
      </c>
      <c r="P6" t="str">
        <f t="shared" si="1"/>
        <v>False</v>
      </c>
      <c r="Q6" t="str">
        <f t="shared" si="0"/>
        <v>excel, sql, tableau, power BI</v>
      </c>
      <c r="R6">
        <f t="shared" si="2"/>
        <v>56487</v>
      </c>
      <c r="S6" t="str">
        <f t="shared" si="3"/>
        <v>No degree mentioned</v>
      </c>
      <c r="T6" t="str">
        <f t="shared" si="4"/>
        <v>False</v>
      </c>
    </row>
    <row r="7" spans="1:20" x14ac:dyDescent="0.3">
      <c r="A7" t="s">
        <v>58</v>
      </c>
      <c r="B7" t="s">
        <v>58</v>
      </c>
      <c r="C7" t="s">
        <v>59</v>
      </c>
      <c r="D7" t="s">
        <v>54</v>
      </c>
      <c r="E7" t="s">
        <v>60</v>
      </c>
      <c r="F7" t="s">
        <v>56</v>
      </c>
      <c r="G7" t="s">
        <v>42</v>
      </c>
      <c r="H7" t="s">
        <v>61</v>
      </c>
      <c r="I7" t="s">
        <v>42</v>
      </c>
      <c r="J7" t="s">
        <v>42</v>
      </c>
      <c r="K7" t="s">
        <v>42</v>
      </c>
      <c r="L7" t="s">
        <v>25</v>
      </c>
      <c r="M7" t="s">
        <v>26</v>
      </c>
      <c r="N7" t="s">
        <v>36</v>
      </c>
      <c r="O7" t="s">
        <v>27</v>
      </c>
      <c r="P7" t="str">
        <f t="shared" si="1"/>
        <v>False</v>
      </c>
      <c r="Q7" t="str">
        <f t="shared" si="0"/>
        <v>excel, sql, tableau, power BI</v>
      </c>
      <c r="R7">
        <f t="shared" si="2"/>
        <v>51230</v>
      </c>
      <c r="S7" t="str">
        <f t="shared" si="3"/>
        <v>No degree mentioned</v>
      </c>
      <c r="T7" t="str">
        <f t="shared" si="4"/>
        <v>False</v>
      </c>
    </row>
    <row r="8" spans="1:20" x14ac:dyDescent="0.3">
      <c r="A8" t="s">
        <v>62</v>
      </c>
      <c r="B8" t="s">
        <v>63</v>
      </c>
      <c r="C8" t="s">
        <v>64</v>
      </c>
      <c r="D8" t="s">
        <v>54</v>
      </c>
      <c r="E8" t="s">
        <v>65</v>
      </c>
      <c r="F8" t="s">
        <v>56</v>
      </c>
      <c r="G8" t="s">
        <v>42</v>
      </c>
      <c r="H8" t="s">
        <v>66</v>
      </c>
      <c r="I8" t="s">
        <v>42</v>
      </c>
      <c r="J8" t="s">
        <v>42</v>
      </c>
      <c r="K8" t="s">
        <v>42</v>
      </c>
      <c r="L8" t="s">
        <v>25</v>
      </c>
      <c r="M8" t="s">
        <v>26</v>
      </c>
      <c r="N8" t="s">
        <v>36</v>
      </c>
      <c r="O8" t="s">
        <v>27</v>
      </c>
      <c r="P8" t="str">
        <f t="shared" si="1"/>
        <v>False</v>
      </c>
      <c r="Q8" t="str">
        <f t="shared" si="0"/>
        <v>excel, sql, tableau, power BI</v>
      </c>
      <c r="R8">
        <f t="shared" si="2"/>
        <v>52755</v>
      </c>
      <c r="S8" t="str">
        <f t="shared" si="3"/>
        <v>No degree mentioned</v>
      </c>
      <c r="T8" t="str">
        <f t="shared" si="4"/>
        <v>False</v>
      </c>
    </row>
    <row r="9" spans="1:20" x14ac:dyDescent="0.3">
      <c r="A9" t="s">
        <v>67</v>
      </c>
      <c r="B9" t="s">
        <v>16</v>
      </c>
      <c r="C9" t="s">
        <v>68</v>
      </c>
      <c r="D9" t="s">
        <v>54</v>
      </c>
      <c r="E9" t="s">
        <v>69</v>
      </c>
      <c r="F9" t="s">
        <v>56</v>
      </c>
      <c r="G9" t="s">
        <v>42</v>
      </c>
      <c r="H9" t="s">
        <v>70</v>
      </c>
      <c r="I9" t="s">
        <v>42</v>
      </c>
      <c r="J9" t="s">
        <v>42</v>
      </c>
      <c r="K9" t="s">
        <v>42</v>
      </c>
      <c r="L9" t="s">
        <v>25</v>
      </c>
      <c r="M9" t="s">
        <v>26</v>
      </c>
      <c r="N9" t="s">
        <v>36</v>
      </c>
      <c r="O9" t="s">
        <v>27</v>
      </c>
      <c r="P9" t="str">
        <f t="shared" si="1"/>
        <v>False</v>
      </c>
      <c r="Q9" t="str">
        <f t="shared" si="0"/>
        <v>excel, sql, tableau, power BI</v>
      </c>
      <c r="R9">
        <f t="shared" si="2"/>
        <v>66199</v>
      </c>
      <c r="S9" t="str">
        <f t="shared" si="3"/>
        <v>No degree mentioned</v>
      </c>
      <c r="T9" t="str">
        <f t="shared" si="4"/>
        <v>False</v>
      </c>
    </row>
    <row r="10" spans="1:20" x14ac:dyDescent="0.3">
      <c r="A10" t="s">
        <v>71</v>
      </c>
      <c r="B10" t="s">
        <v>45</v>
      </c>
      <c r="C10" t="s">
        <v>72</v>
      </c>
      <c r="D10" t="s">
        <v>54</v>
      </c>
      <c r="E10" t="s">
        <v>73</v>
      </c>
      <c r="F10" t="s">
        <v>56</v>
      </c>
      <c r="G10" t="s">
        <v>42</v>
      </c>
      <c r="H10" t="s">
        <v>74</v>
      </c>
      <c r="I10" t="s">
        <v>42</v>
      </c>
      <c r="J10" t="s">
        <v>42</v>
      </c>
      <c r="K10" t="s">
        <v>42</v>
      </c>
      <c r="L10" t="s">
        <v>25</v>
      </c>
      <c r="M10" t="s">
        <v>26</v>
      </c>
      <c r="N10" t="s">
        <v>36</v>
      </c>
      <c r="O10" t="s">
        <v>27</v>
      </c>
      <c r="P10" t="str">
        <f t="shared" si="1"/>
        <v>False</v>
      </c>
      <c r="Q10" t="str">
        <f t="shared" si="0"/>
        <v>excel, sql, tableau, power BI</v>
      </c>
      <c r="R10">
        <f t="shared" si="2"/>
        <v>62611</v>
      </c>
      <c r="S10" t="str">
        <f t="shared" si="3"/>
        <v>No degree mentioned</v>
      </c>
      <c r="T10" t="str">
        <f t="shared" si="4"/>
        <v>False</v>
      </c>
    </row>
    <row r="11" spans="1:20" x14ac:dyDescent="0.3">
      <c r="A11" t="s">
        <v>75</v>
      </c>
      <c r="B11" t="s">
        <v>45</v>
      </c>
      <c r="C11" t="s">
        <v>76</v>
      </c>
      <c r="D11" t="s">
        <v>54</v>
      </c>
      <c r="E11" t="s">
        <v>77</v>
      </c>
      <c r="F11" t="s">
        <v>56</v>
      </c>
      <c r="G11" t="s">
        <v>42</v>
      </c>
      <c r="H11" t="s">
        <v>78</v>
      </c>
      <c r="I11" t="s">
        <v>42</v>
      </c>
      <c r="J11" t="s">
        <v>42</v>
      </c>
      <c r="K11" t="s">
        <v>42</v>
      </c>
      <c r="L11" t="s">
        <v>25</v>
      </c>
      <c r="M11" t="s">
        <v>26</v>
      </c>
      <c r="N11" t="s">
        <v>36</v>
      </c>
      <c r="O11" t="s">
        <v>27</v>
      </c>
      <c r="P11" t="str">
        <f t="shared" si="1"/>
        <v>False</v>
      </c>
      <c r="Q11" t="str">
        <f t="shared" si="0"/>
        <v>excel, sql, tableau, power BI</v>
      </c>
      <c r="R11">
        <f t="shared" si="2"/>
        <v>57620</v>
      </c>
      <c r="S11" t="str">
        <f t="shared" si="3"/>
        <v>No degree mentioned</v>
      </c>
      <c r="T11" t="str">
        <f t="shared" si="4"/>
        <v>False</v>
      </c>
    </row>
    <row r="12" spans="1:20" x14ac:dyDescent="0.3">
      <c r="A12" t="s">
        <v>79</v>
      </c>
      <c r="B12" t="s">
        <v>29</v>
      </c>
      <c r="C12" t="s">
        <v>80</v>
      </c>
      <c r="D12" t="s">
        <v>54</v>
      </c>
      <c r="E12" t="s">
        <v>81</v>
      </c>
      <c r="F12" t="s">
        <v>56</v>
      </c>
      <c r="G12" t="s">
        <v>42</v>
      </c>
      <c r="H12" t="s">
        <v>82</v>
      </c>
      <c r="I12" t="s">
        <v>42</v>
      </c>
      <c r="J12" t="s">
        <v>42</v>
      </c>
      <c r="K12" t="s">
        <v>42</v>
      </c>
      <c r="L12" t="s">
        <v>25</v>
      </c>
      <c r="M12" t="s">
        <v>26</v>
      </c>
      <c r="N12" t="s">
        <v>36</v>
      </c>
      <c r="O12" t="s">
        <v>27</v>
      </c>
      <c r="P12" t="str">
        <f t="shared" si="1"/>
        <v>False</v>
      </c>
      <c r="Q12" t="str">
        <f t="shared" si="0"/>
        <v>excel, sql, tableau, power BI</v>
      </c>
      <c r="R12">
        <f t="shared" si="2"/>
        <v>61276</v>
      </c>
      <c r="S12" t="str">
        <f t="shared" si="3"/>
        <v>No degree mentioned</v>
      </c>
      <c r="T12" t="str">
        <f t="shared" si="4"/>
        <v>False</v>
      </c>
    </row>
    <row r="13" spans="1:20" x14ac:dyDescent="0.3">
      <c r="A13" t="s">
        <v>83</v>
      </c>
      <c r="B13" t="s">
        <v>63</v>
      </c>
      <c r="C13" t="s">
        <v>84</v>
      </c>
      <c r="D13" t="s">
        <v>54</v>
      </c>
      <c r="E13" t="s">
        <v>85</v>
      </c>
      <c r="F13" t="s">
        <v>56</v>
      </c>
      <c r="G13" t="s">
        <v>42</v>
      </c>
      <c r="H13" t="s">
        <v>86</v>
      </c>
      <c r="I13" t="s">
        <v>42</v>
      </c>
      <c r="J13" t="s">
        <v>42</v>
      </c>
      <c r="K13" t="s">
        <v>42</v>
      </c>
      <c r="L13" t="s">
        <v>25</v>
      </c>
      <c r="M13" t="s">
        <v>26</v>
      </c>
      <c r="N13" t="s">
        <v>36</v>
      </c>
      <c r="O13" t="s">
        <v>27</v>
      </c>
      <c r="P13" t="str">
        <f t="shared" si="1"/>
        <v>False</v>
      </c>
      <c r="Q13" t="str">
        <f t="shared" si="0"/>
        <v>excel, sql, tableau, power BI</v>
      </c>
      <c r="R13">
        <f t="shared" si="2"/>
        <v>78823</v>
      </c>
      <c r="S13" t="str">
        <f t="shared" si="3"/>
        <v>No degree mentioned</v>
      </c>
      <c r="T13" t="str">
        <f t="shared" si="4"/>
        <v>False</v>
      </c>
    </row>
    <row r="14" spans="1:20" x14ac:dyDescent="0.3">
      <c r="A14" t="s">
        <v>87</v>
      </c>
      <c r="B14" t="s">
        <v>58</v>
      </c>
      <c r="C14" t="s">
        <v>88</v>
      </c>
      <c r="D14" t="s">
        <v>89</v>
      </c>
      <c r="E14" t="s">
        <v>90</v>
      </c>
      <c r="F14" t="s">
        <v>56</v>
      </c>
      <c r="G14" t="s">
        <v>42</v>
      </c>
      <c r="H14" t="s">
        <v>91</v>
      </c>
      <c r="I14" t="s">
        <v>42</v>
      </c>
      <c r="J14" t="s">
        <v>42</v>
      </c>
      <c r="K14" t="s">
        <v>42</v>
      </c>
      <c r="L14" t="s">
        <v>25</v>
      </c>
      <c r="M14" t="s">
        <v>26</v>
      </c>
      <c r="N14" t="s">
        <v>36</v>
      </c>
      <c r="O14" t="s">
        <v>27</v>
      </c>
      <c r="P14" t="str">
        <f t="shared" si="1"/>
        <v>False</v>
      </c>
      <c r="Q14" t="str">
        <f t="shared" si="0"/>
        <v>excel, sql, tableau, power BI</v>
      </c>
      <c r="R14">
        <f t="shared" si="2"/>
        <v>44647</v>
      </c>
      <c r="S14" t="str">
        <f t="shared" si="3"/>
        <v>No degree mentioned</v>
      </c>
      <c r="T14" t="str">
        <f t="shared" si="4"/>
        <v>False</v>
      </c>
    </row>
    <row r="15" spans="1:20" x14ac:dyDescent="0.3">
      <c r="A15" t="s">
        <v>58</v>
      </c>
      <c r="B15" t="s">
        <v>58</v>
      </c>
      <c r="C15" t="s">
        <v>92</v>
      </c>
      <c r="D15" t="s">
        <v>54</v>
      </c>
      <c r="E15" t="s">
        <v>93</v>
      </c>
      <c r="F15" t="s">
        <v>56</v>
      </c>
      <c r="G15" t="s">
        <v>42</v>
      </c>
      <c r="H15" t="s">
        <v>94</v>
      </c>
      <c r="I15" t="s">
        <v>42</v>
      </c>
      <c r="J15" t="s">
        <v>42</v>
      </c>
      <c r="K15" t="s">
        <v>42</v>
      </c>
      <c r="L15" t="s">
        <v>25</v>
      </c>
      <c r="M15" t="s">
        <v>26</v>
      </c>
      <c r="N15" t="s">
        <v>36</v>
      </c>
      <c r="O15" t="s">
        <v>27</v>
      </c>
      <c r="P15" t="str">
        <f t="shared" si="1"/>
        <v>False</v>
      </c>
      <c r="Q15" t="str">
        <f t="shared" si="0"/>
        <v>excel, sql, tableau, power BI</v>
      </c>
      <c r="R15">
        <f t="shared" si="2"/>
        <v>46396</v>
      </c>
      <c r="S15" t="str">
        <f t="shared" si="3"/>
        <v>No degree mentioned</v>
      </c>
      <c r="T15" t="str">
        <f t="shared" si="4"/>
        <v>False</v>
      </c>
    </row>
    <row r="16" spans="1:20" x14ac:dyDescent="0.3">
      <c r="A16" t="s">
        <v>95</v>
      </c>
      <c r="B16" t="s">
        <v>96</v>
      </c>
      <c r="C16" t="s">
        <v>97</v>
      </c>
      <c r="D16" t="s">
        <v>31</v>
      </c>
      <c r="E16" t="s">
        <v>98</v>
      </c>
      <c r="F16" t="s">
        <v>56</v>
      </c>
      <c r="G16" t="s">
        <v>42</v>
      </c>
      <c r="H16" t="s">
        <v>99</v>
      </c>
      <c r="I16" t="s">
        <v>42</v>
      </c>
      <c r="J16" t="s">
        <v>42</v>
      </c>
      <c r="K16" t="s">
        <v>42</v>
      </c>
      <c r="L16" t="s">
        <v>25</v>
      </c>
      <c r="M16" t="s">
        <v>26</v>
      </c>
      <c r="N16" t="s">
        <v>36</v>
      </c>
      <c r="O16" t="s">
        <v>27</v>
      </c>
      <c r="P16" t="str">
        <f t="shared" si="1"/>
        <v>False</v>
      </c>
      <c r="Q16" t="str">
        <f t="shared" si="0"/>
        <v>excel, sql, tableau, power BI</v>
      </c>
      <c r="R16">
        <f t="shared" si="2"/>
        <v>60843</v>
      </c>
      <c r="S16" t="str">
        <f t="shared" si="3"/>
        <v>No degree mentioned</v>
      </c>
      <c r="T16" t="str">
        <f t="shared" si="4"/>
        <v>False</v>
      </c>
    </row>
    <row r="17" spans="1:20" x14ac:dyDescent="0.3">
      <c r="A17" t="s">
        <v>100</v>
      </c>
      <c r="B17" t="s">
        <v>29</v>
      </c>
      <c r="C17" t="s">
        <v>101</v>
      </c>
      <c r="D17" t="s">
        <v>102</v>
      </c>
      <c r="E17" t="s">
        <v>103</v>
      </c>
      <c r="F17" t="s">
        <v>56</v>
      </c>
      <c r="G17" t="s">
        <v>42</v>
      </c>
      <c r="H17" t="s">
        <v>104</v>
      </c>
      <c r="I17" t="s">
        <v>42</v>
      </c>
      <c r="J17" t="s">
        <v>42</v>
      </c>
      <c r="K17" t="s">
        <v>42</v>
      </c>
      <c r="L17" t="s">
        <v>25</v>
      </c>
      <c r="M17" t="s">
        <v>26</v>
      </c>
      <c r="N17" t="s">
        <v>36</v>
      </c>
      <c r="O17" t="s">
        <v>27</v>
      </c>
      <c r="P17" t="str">
        <f t="shared" si="1"/>
        <v>False</v>
      </c>
      <c r="Q17" t="str">
        <f t="shared" si="0"/>
        <v>excel, sql, tableau, power BI</v>
      </c>
      <c r="R17">
        <f t="shared" si="2"/>
        <v>69018</v>
      </c>
      <c r="S17" t="str">
        <f t="shared" si="3"/>
        <v>No degree mentioned</v>
      </c>
      <c r="T17" t="str">
        <f t="shared" si="4"/>
        <v>False</v>
      </c>
    </row>
    <row r="18" spans="1:20" x14ac:dyDescent="0.3">
      <c r="A18" t="s">
        <v>105</v>
      </c>
      <c r="B18" t="s">
        <v>105</v>
      </c>
      <c r="C18" t="s">
        <v>106</v>
      </c>
      <c r="D18" t="s">
        <v>31</v>
      </c>
      <c r="E18" t="s">
        <v>107</v>
      </c>
      <c r="F18" t="s">
        <v>56</v>
      </c>
      <c r="G18" t="s">
        <v>42</v>
      </c>
      <c r="H18" t="s">
        <v>108</v>
      </c>
      <c r="I18" t="s">
        <v>42</v>
      </c>
      <c r="J18" t="s">
        <v>42</v>
      </c>
      <c r="K18" t="s">
        <v>42</v>
      </c>
      <c r="L18" t="s">
        <v>25</v>
      </c>
      <c r="M18" t="s">
        <v>26</v>
      </c>
      <c r="N18" t="s">
        <v>36</v>
      </c>
      <c r="O18" t="s">
        <v>27</v>
      </c>
      <c r="P18" t="str">
        <f t="shared" si="1"/>
        <v>False</v>
      </c>
      <c r="Q18" t="str">
        <f t="shared" si="0"/>
        <v>excel, sql, tableau, power BI</v>
      </c>
      <c r="R18">
        <f t="shared" si="2"/>
        <v>57429</v>
      </c>
      <c r="S18" t="str">
        <f t="shared" si="3"/>
        <v>No degree mentioned</v>
      </c>
      <c r="T18" t="str">
        <f t="shared" si="4"/>
        <v>False</v>
      </c>
    </row>
    <row r="19" spans="1:20" x14ac:dyDescent="0.3">
      <c r="A19" t="s">
        <v>109</v>
      </c>
      <c r="B19" t="s">
        <v>109</v>
      </c>
      <c r="C19" t="s">
        <v>110</v>
      </c>
      <c r="D19" t="s">
        <v>102</v>
      </c>
      <c r="E19" t="s">
        <v>111</v>
      </c>
      <c r="F19" t="s">
        <v>56</v>
      </c>
      <c r="G19" t="s">
        <v>42</v>
      </c>
      <c r="H19" t="s">
        <v>112</v>
      </c>
      <c r="I19" t="s">
        <v>42</v>
      </c>
      <c r="J19" t="s">
        <v>42</v>
      </c>
      <c r="K19" t="s">
        <v>42</v>
      </c>
      <c r="L19" t="s">
        <v>25</v>
      </c>
      <c r="M19" t="s">
        <v>26</v>
      </c>
      <c r="N19" t="s">
        <v>36</v>
      </c>
      <c r="O19" t="s">
        <v>27</v>
      </c>
      <c r="P19" t="str">
        <f t="shared" si="1"/>
        <v>False</v>
      </c>
      <c r="Q19" t="str">
        <f t="shared" si="0"/>
        <v>excel, sql, tableau, power BI</v>
      </c>
      <c r="R19">
        <f t="shared" si="2"/>
        <v>63017</v>
      </c>
      <c r="S19" t="str">
        <f t="shared" si="3"/>
        <v>No degree mentioned</v>
      </c>
      <c r="T19" t="str">
        <f t="shared" si="4"/>
        <v>False</v>
      </c>
    </row>
    <row r="20" spans="1:20" x14ac:dyDescent="0.3">
      <c r="A20" t="s">
        <v>113</v>
      </c>
      <c r="B20" t="s">
        <v>63</v>
      </c>
      <c r="C20" t="s">
        <v>114</v>
      </c>
      <c r="D20" t="s">
        <v>54</v>
      </c>
      <c r="E20" t="s">
        <v>115</v>
      </c>
      <c r="F20" t="s">
        <v>56</v>
      </c>
      <c r="G20" t="s">
        <v>42</v>
      </c>
      <c r="H20" t="s">
        <v>116</v>
      </c>
      <c r="I20" t="s">
        <v>42</v>
      </c>
      <c r="J20" t="s">
        <v>42</v>
      </c>
      <c r="K20" t="s">
        <v>42</v>
      </c>
      <c r="L20" t="s">
        <v>25</v>
      </c>
      <c r="M20" t="s">
        <v>26</v>
      </c>
      <c r="N20" t="s">
        <v>36</v>
      </c>
      <c r="O20" t="s">
        <v>27</v>
      </c>
      <c r="P20" t="str">
        <f t="shared" si="1"/>
        <v>False</v>
      </c>
      <c r="Q20" t="str">
        <f t="shared" si="0"/>
        <v>excel, sql, tableau, power BI</v>
      </c>
      <c r="R20">
        <f t="shared" si="2"/>
        <v>48959</v>
      </c>
      <c r="S20" t="str">
        <f t="shared" si="3"/>
        <v>No degree mentioned</v>
      </c>
      <c r="T20" t="str">
        <f t="shared" si="4"/>
        <v>False</v>
      </c>
    </row>
    <row r="21" spans="1:20" x14ac:dyDescent="0.3">
      <c r="A21" t="s">
        <v>117</v>
      </c>
      <c r="B21" t="s">
        <v>63</v>
      </c>
      <c r="C21" t="s">
        <v>118</v>
      </c>
      <c r="D21" t="s">
        <v>54</v>
      </c>
      <c r="E21" t="s">
        <v>119</v>
      </c>
      <c r="F21" t="s">
        <v>56</v>
      </c>
      <c r="G21" t="s">
        <v>42</v>
      </c>
      <c r="H21" t="s">
        <v>120</v>
      </c>
      <c r="I21" t="s">
        <v>42</v>
      </c>
      <c r="J21" t="s">
        <v>42</v>
      </c>
      <c r="K21" t="s">
        <v>42</v>
      </c>
      <c r="L21" t="s">
        <v>25</v>
      </c>
      <c r="M21" t="s">
        <v>26</v>
      </c>
      <c r="N21" t="s">
        <v>36</v>
      </c>
      <c r="O21" t="s">
        <v>27</v>
      </c>
      <c r="P21" t="str">
        <f t="shared" si="1"/>
        <v>False</v>
      </c>
      <c r="Q21" t="str">
        <f t="shared" si="0"/>
        <v>excel, sql, tableau, power BI</v>
      </c>
      <c r="R21">
        <f t="shared" si="2"/>
        <v>60659</v>
      </c>
      <c r="S21" t="str">
        <f t="shared" si="3"/>
        <v>No degree mentioned</v>
      </c>
      <c r="T21" t="str">
        <f t="shared" si="4"/>
        <v>False</v>
      </c>
    </row>
    <row r="22" spans="1:20" x14ac:dyDescent="0.3">
      <c r="A22" t="s">
        <v>121</v>
      </c>
      <c r="B22" t="s">
        <v>45</v>
      </c>
      <c r="C22" t="s">
        <v>122</v>
      </c>
      <c r="D22" t="s">
        <v>54</v>
      </c>
      <c r="E22" t="s">
        <v>123</v>
      </c>
      <c r="F22" t="s">
        <v>56</v>
      </c>
      <c r="G22" t="s">
        <v>42</v>
      </c>
      <c r="H22" t="s">
        <v>124</v>
      </c>
      <c r="I22" t="s">
        <v>42</v>
      </c>
      <c r="J22" t="s">
        <v>42</v>
      </c>
      <c r="K22" t="s">
        <v>42</v>
      </c>
      <c r="L22" t="s">
        <v>25</v>
      </c>
      <c r="M22" t="s">
        <v>26</v>
      </c>
      <c r="N22" t="s">
        <v>36</v>
      </c>
      <c r="O22" t="s">
        <v>27</v>
      </c>
      <c r="P22" t="str">
        <f t="shared" si="1"/>
        <v>False</v>
      </c>
      <c r="Q22" t="str">
        <f t="shared" si="0"/>
        <v>excel, sql, tableau, power BI</v>
      </c>
      <c r="R22">
        <f t="shared" si="2"/>
        <v>38113</v>
      </c>
      <c r="S22" t="str">
        <f t="shared" si="3"/>
        <v>No degree mentioned</v>
      </c>
      <c r="T22" t="str">
        <f t="shared" si="4"/>
        <v>False</v>
      </c>
    </row>
    <row r="23" spans="1:20" x14ac:dyDescent="0.3">
      <c r="A23" t="s">
        <v>63</v>
      </c>
      <c r="B23" t="s">
        <v>63</v>
      </c>
      <c r="C23" t="s">
        <v>125</v>
      </c>
      <c r="D23" t="s">
        <v>54</v>
      </c>
      <c r="E23" t="s">
        <v>126</v>
      </c>
      <c r="F23" t="s">
        <v>56</v>
      </c>
      <c r="G23" t="s">
        <v>42</v>
      </c>
      <c r="H23" t="s">
        <v>127</v>
      </c>
      <c r="I23" t="s">
        <v>42</v>
      </c>
      <c r="J23" t="s">
        <v>42</v>
      </c>
      <c r="K23" t="s">
        <v>42</v>
      </c>
      <c r="L23" t="s">
        <v>25</v>
      </c>
      <c r="M23" t="s">
        <v>26</v>
      </c>
      <c r="N23" t="s">
        <v>36</v>
      </c>
      <c r="O23" t="s">
        <v>27</v>
      </c>
      <c r="P23" t="str">
        <f t="shared" si="1"/>
        <v>False</v>
      </c>
      <c r="Q23" t="str">
        <f t="shared" si="0"/>
        <v>excel, sql, tableau, power BI</v>
      </c>
      <c r="R23">
        <f t="shared" si="2"/>
        <v>43093</v>
      </c>
      <c r="S23" t="str">
        <f t="shared" si="3"/>
        <v>No degree mentioned</v>
      </c>
      <c r="T23" t="str">
        <f t="shared" si="4"/>
        <v>False</v>
      </c>
    </row>
    <row r="24" spans="1:20" x14ac:dyDescent="0.3">
      <c r="A24" t="s">
        <v>128</v>
      </c>
      <c r="B24" t="s">
        <v>45</v>
      </c>
      <c r="C24" t="s">
        <v>129</v>
      </c>
      <c r="D24" t="s">
        <v>54</v>
      </c>
      <c r="E24" t="s">
        <v>130</v>
      </c>
      <c r="F24" t="s">
        <v>56</v>
      </c>
      <c r="G24" t="s">
        <v>42</v>
      </c>
      <c r="H24" t="s">
        <v>131</v>
      </c>
      <c r="I24" t="s">
        <v>42</v>
      </c>
      <c r="J24" t="s">
        <v>42</v>
      </c>
      <c r="K24" t="s">
        <v>42</v>
      </c>
      <c r="L24" t="s">
        <v>25</v>
      </c>
      <c r="M24" t="s">
        <v>26</v>
      </c>
      <c r="N24" t="s">
        <v>36</v>
      </c>
      <c r="O24" t="s">
        <v>27</v>
      </c>
      <c r="P24" t="str">
        <f t="shared" si="1"/>
        <v>False</v>
      </c>
      <c r="Q24" t="str">
        <f t="shared" si="0"/>
        <v>excel, sql, tableau, power BI</v>
      </c>
      <c r="R24">
        <f t="shared" si="2"/>
        <v>64638</v>
      </c>
      <c r="S24" t="str">
        <f t="shared" si="3"/>
        <v>No degree mentioned</v>
      </c>
      <c r="T24" t="str">
        <f t="shared" si="4"/>
        <v>False</v>
      </c>
    </row>
    <row r="25" spans="1:20" x14ac:dyDescent="0.3">
      <c r="A25" t="s">
        <v>132</v>
      </c>
      <c r="B25" t="s">
        <v>132</v>
      </c>
      <c r="C25" t="s">
        <v>133</v>
      </c>
      <c r="D25" t="s">
        <v>54</v>
      </c>
      <c r="E25" t="s">
        <v>134</v>
      </c>
      <c r="F25" t="s">
        <v>56</v>
      </c>
      <c r="G25" t="s">
        <v>42</v>
      </c>
      <c r="H25" t="s">
        <v>135</v>
      </c>
      <c r="I25" t="s">
        <v>42</v>
      </c>
      <c r="J25" t="s">
        <v>42</v>
      </c>
      <c r="K25" t="s">
        <v>42</v>
      </c>
      <c r="L25" t="s">
        <v>25</v>
      </c>
      <c r="M25" t="s">
        <v>26</v>
      </c>
      <c r="N25" t="s">
        <v>36</v>
      </c>
      <c r="O25" t="s">
        <v>27</v>
      </c>
      <c r="P25" t="str">
        <f t="shared" si="1"/>
        <v>False</v>
      </c>
      <c r="Q25" t="str">
        <f t="shared" si="0"/>
        <v>excel, sql, tableau, power BI</v>
      </c>
      <c r="R25">
        <f t="shared" si="2"/>
        <v>54263</v>
      </c>
      <c r="S25" t="str">
        <f t="shared" si="3"/>
        <v>No degree mentioned</v>
      </c>
      <c r="T25" t="str">
        <f t="shared" si="4"/>
        <v>False</v>
      </c>
    </row>
    <row r="26" spans="1:20" x14ac:dyDescent="0.3">
      <c r="A26" t="s">
        <v>136</v>
      </c>
      <c r="B26" t="s">
        <v>45</v>
      </c>
      <c r="C26" t="s">
        <v>137</v>
      </c>
      <c r="D26" t="s">
        <v>102</v>
      </c>
      <c r="E26" t="s">
        <v>138</v>
      </c>
      <c r="F26" t="s">
        <v>56</v>
      </c>
      <c r="G26" t="s">
        <v>42</v>
      </c>
      <c r="H26" t="s">
        <v>139</v>
      </c>
      <c r="I26" t="s">
        <v>42</v>
      </c>
      <c r="J26" t="s">
        <v>42</v>
      </c>
      <c r="K26" t="s">
        <v>42</v>
      </c>
      <c r="L26" t="s">
        <v>25</v>
      </c>
      <c r="M26" t="s">
        <v>26</v>
      </c>
      <c r="N26" t="s">
        <v>36</v>
      </c>
      <c r="O26" t="s">
        <v>27</v>
      </c>
      <c r="P26" t="str">
        <f t="shared" si="1"/>
        <v>False</v>
      </c>
      <c r="Q26" t="str">
        <f t="shared" si="0"/>
        <v>excel, sql, tableau, power BI</v>
      </c>
      <c r="R26">
        <f t="shared" si="2"/>
        <v>71573</v>
      </c>
      <c r="S26" t="str">
        <f t="shared" si="3"/>
        <v>No degree mentioned</v>
      </c>
      <c r="T26" t="str">
        <f t="shared" si="4"/>
        <v>False</v>
      </c>
    </row>
    <row r="27" spans="1:20" x14ac:dyDescent="0.3">
      <c r="A27" t="s">
        <v>140</v>
      </c>
      <c r="B27" t="s">
        <v>45</v>
      </c>
      <c r="C27" t="s">
        <v>141</v>
      </c>
      <c r="D27" t="s">
        <v>102</v>
      </c>
      <c r="E27" t="s">
        <v>142</v>
      </c>
      <c r="F27" t="s">
        <v>56</v>
      </c>
      <c r="G27" t="s">
        <v>42</v>
      </c>
      <c r="H27" t="s">
        <v>143</v>
      </c>
      <c r="I27" t="s">
        <v>42</v>
      </c>
      <c r="J27" t="s">
        <v>42</v>
      </c>
      <c r="K27" t="s">
        <v>42</v>
      </c>
      <c r="L27" t="s">
        <v>25</v>
      </c>
      <c r="M27" t="s">
        <v>26</v>
      </c>
      <c r="N27" t="s">
        <v>36</v>
      </c>
      <c r="O27" t="s">
        <v>27</v>
      </c>
      <c r="P27" t="str">
        <f t="shared" si="1"/>
        <v>False</v>
      </c>
      <c r="Q27" t="str">
        <f t="shared" si="0"/>
        <v>excel, sql, tableau, power BI</v>
      </c>
      <c r="R27">
        <f t="shared" si="2"/>
        <v>42799</v>
      </c>
      <c r="S27" t="str">
        <f t="shared" si="3"/>
        <v>No degree mentioned</v>
      </c>
      <c r="T27" t="str">
        <f t="shared" si="4"/>
        <v>False</v>
      </c>
    </row>
    <row r="28" spans="1:20" x14ac:dyDescent="0.3">
      <c r="A28" t="s">
        <v>144</v>
      </c>
      <c r="B28" t="s">
        <v>29</v>
      </c>
      <c r="C28" t="s">
        <v>145</v>
      </c>
      <c r="D28" t="s">
        <v>102</v>
      </c>
      <c r="E28" t="s">
        <v>146</v>
      </c>
      <c r="F28" t="s">
        <v>56</v>
      </c>
      <c r="G28" t="s">
        <v>42</v>
      </c>
      <c r="H28" t="s">
        <v>147</v>
      </c>
      <c r="I28" t="s">
        <v>42</v>
      </c>
      <c r="J28" t="s">
        <v>42</v>
      </c>
      <c r="K28" t="s">
        <v>42</v>
      </c>
      <c r="L28" t="s">
        <v>25</v>
      </c>
      <c r="M28" t="s">
        <v>26</v>
      </c>
      <c r="N28" t="s">
        <v>36</v>
      </c>
      <c r="O28" t="s">
        <v>27</v>
      </c>
      <c r="P28" t="str">
        <f t="shared" si="1"/>
        <v>False</v>
      </c>
      <c r="Q28" t="str">
        <f t="shared" si="0"/>
        <v>excel, sql, tableau, power BI</v>
      </c>
      <c r="R28">
        <f t="shared" si="2"/>
        <v>50663</v>
      </c>
      <c r="S28" t="str">
        <f t="shared" si="3"/>
        <v>No degree mentioned</v>
      </c>
      <c r="T28" t="str">
        <f t="shared" si="4"/>
        <v>False</v>
      </c>
    </row>
    <row r="29" spans="1:20" x14ac:dyDescent="0.3">
      <c r="A29" t="s">
        <v>148</v>
      </c>
      <c r="B29" t="s">
        <v>63</v>
      </c>
      <c r="C29" t="s">
        <v>149</v>
      </c>
      <c r="D29" t="s">
        <v>31</v>
      </c>
      <c r="E29" t="s">
        <v>150</v>
      </c>
      <c r="F29" t="s">
        <v>56</v>
      </c>
      <c r="G29" t="s">
        <v>42</v>
      </c>
      <c r="H29" t="s">
        <v>151</v>
      </c>
      <c r="I29" t="s">
        <v>42</v>
      </c>
      <c r="J29" t="s">
        <v>42</v>
      </c>
      <c r="K29" t="s">
        <v>42</v>
      </c>
      <c r="L29" t="s">
        <v>25</v>
      </c>
      <c r="M29" t="s">
        <v>26</v>
      </c>
      <c r="N29" t="s">
        <v>36</v>
      </c>
      <c r="O29" t="s">
        <v>27</v>
      </c>
      <c r="P29" t="str">
        <f t="shared" si="1"/>
        <v>False</v>
      </c>
      <c r="Q29" t="str">
        <f t="shared" si="0"/>
        <v>excel, sql, tableau, power BI</v>
      </c>
      <c r="R29">
        <f t="shared" si="2"/>
        <v>39290</v>
      </c>
      <c r="S29" t="str">
        <f t="shared" si="3"/>
        <v>No degree mentioned</v>
      </c>
      <c r="T29" t="str">
        <f t="shared" si="4"/>
        <v>False</v>
      </c>
    </row>
    <row r="30" spans="1:20" x14ac:dyDescent="0.3">
      <c r="A30" t="s">
        <v>152</v>
      </c>
      <c r="B30" t="s">
        <v>45</v>
      </c>
      <c r="C30" t="s">
        <v>153</v>
      </c>
      <c r="D30" t="s">
        <v>154</v>
      </c>
      <c r="E30" t="s">
        <v>155</v>
      </c>
      <c r="F30" t="s">
        <v>56</v>
      </c>
      <c r="G30" t="s">
        <v>42</v>
      </c>
      <c r="H30" t="s">
        <v>156</v>
      </c>
      <c r="I30" t="s">
        <v>42</v>
      </c>
      <c r="J30" t="s">
        <v>42</v>
      </c>
      <c r="K30" t="s">
        <v>42</v>
      </c>
      <c r="L30" t="s">
        <v>25</v>
      </c>
      <c r="M30" t="s">
        <v>26</v>
      </c>
      <c r="N30" t="s">
        <v>36</v>
      </c>
      <c r="O30" t="s">
        <v>27</v>
      </c>
      <c r="P30" t="str">
        <f t="shared" si="1"/>
        <v>False</v>
      </c>
      <c r="Q30" t="str">
        <f t="shared" si="0"/>
        <v>excel, sql, tableau, power BI</v>
      </c>
      <c r="R30">
        <f t="shared" si="2"/>
        <v>43948</v>
      </c>
      <c r="S30" t="str">
        <f t="shared" si="3"/>
        <v>No degree mentioned</v>
      </c>
      <c r="T30" t="str">
        <f t="shared" si="4"/>
        <v>False</v>
      </c>
    </row>
    <row r="31" spans="1:20" x14ac:dyDescent="0.3">
      <c r="A31" t="s">
        <v>157</v>
      </c>
      <c r="B31" t="s">
        <v>29</v>
      </c>
      <c r="C31" t="s">
        <v>101</v>
      </c>
      <c r="D31" t="s">
        <v>102</v>
      </c>
      <c r="E31" t="s">
        <v>158</v>
      </c>
      <c r="F31" t="s">
        <v>56</v>
      </c>
      <c r="G31" t="s">
        <v>42</v>
      </c>
      <c r="H31" t="s">
        <v>159</v>
      </c>
      <c r="I31" t="s">
        <v>42</v>
      </c>
      <c r="J31" t="s">
        <v>42</v>
      </c>
      <c r="K31" t="s">
        <v>42</v>
      </c>
      <c r="L31" t="s">
        <v>25</v>
      </c>
      <c r="M31" t="s">
        <v>26</v>
      </c>
      <c r="N31" t="s">
        <v>36</v>
      </c>
      <c r="O31" t="s">
        <v>27</v>
      </c>
      <c r="P31" t="str">
        <f t="shared" si="1"/>
        <v>False</v>
      </c>
      <c r="Q31" t="str">
        <f t="shared" si="0"/>
        <v>excel, sql, tableau, power BI</v>
      </c>
      <c r="R31">
        <f t="shared" si="2"/>
        <v>35525</v>
      </c>
      <c r="S31" t="str">
        <f t="shared" si="3"/>
        <v>No degree mentioned</v>
      </c>
      <c r="T31" t="str">
        <f t="shared" si="4"/>
        <v>False</v>
      </c>
    </row>
    <row r="32" spans="1:20" x14ac:dyDescent="0.3">
      <c r="A32" t="s">
        <v>160</v>
      </c>
      <c r="B32" t="s">
        <v>29</v>
      </c>
      <c r="C32" t="s">
        <v>53</v>
      </c>
      <c r="D32" t="s">
        <v>161</v>
      </c>
      <c r="E32" t="s">
        <v>162</v>
      </c>
      <c r="F32" t="s">
        <v>56</v>
      </c>
      <c r="G32" t="s">
        <v>42</v>
      </c>
      <c r="H32" t="s">
        <v>163</v>
      </c>
      <c r="I32" t="s">
        <v>42</v>
      </c>
      <c r="J32" t="s">
        <v>42</v>
      </c>
      <c r="K32" t="s">
        <v>42</v>
      </c>
      <c r="L32" t="s">
        <v>25</v>
      </c>
      <c r="M32" t="s">
        <v>26</v>
      </c>
      <c r="N32" t="s">
        <v>36</v>
      </c>
      <c r="O32" t="s">
        <v>27</v>
      </c>
      <c r="P32" t="str">
        <f t="shared" si="1"/>
        <v>False</v>
      </c>
      <c r="Q32" t="str">
        <f t="shared" si="0"/>
        <v>excel, sql, tableau, power BI</v>
      </c>
      <c r="R32">
        <f t="shared" si="2"/>
        <v>56995</v>
      </c>
      <c r="S32" t="str">
        <f t="shared" si="3"/>
        <v>No degree mentioned</v>
      </c>
      <c r="T32" t="str">
        <f t="shared" si="4"/>
        <v>False</v>
      </c>
    </row>
    <row r="33" spans="1:20" x14ac:dyDescent="0.3">
      <c r="A33" t="s">
        <v>58</v>
      </c>
      <c r="B33" t="s">
        <v>58</v>
      </c>
      <c r="C33" t="s">
        <v>164</v>
      </c>
      <c r="D33" t="s">
        <v>54</v>
      </c>
      <c r="E33" t="s">
        <v>165</v>
      </c>
      <c r="F33" t="s">
        <v>56</v>
      </c>
      <c r="G33" t="s">
        <v>42</v>
      </c>
      <c r="H33" t="s">
        <v>166</v>
      </c>
      <c r="I33" t="s">
        <v>42</v>
      </c>
      <c r="J33" t="s">
        <v>42</v>
      </c>
      <c r="K33" t="s">
        <v>42</v>
      </c>
      <c r="L33" t="s">
        <v>25</v>
      </c>
      <c r="M33" t="s">
        <v>26</v>
      </c>
      <c r="N33" t="s">
        <v>36</v>
      </c>
      <c r="O33" t="s">
        <v>27</v>
      </c>
      <c r="P33" t="str">
        <f t="shared" si="1"/>
        <v>False</v>
      </c>
      <c r="Q33" t="str">
        <f t="shared" si="0"/>
        <v>excel, sql, tableau, power BI</v>
      </c>
      <c r="R33">
        <f t="shared" si="2"/>
        <v>57912</v>
      </c>
      <c r="S33" t="str">
        <f t="shared" si="3"/>
        <v>No degree mentioned</v>
      </c>
      <c r="T33" t="str">
        <f t="shared" si="4"/>
        <v>False</v>
      </c>
    </row>
    <row r="34" spans="1:20" x14ac:dyDescent="0.3">
      <c r="A34" t="s">
        <v>167</v>
      </c>
      <c r="B34" t="s">
        <v>29</v>
      </c>
      <c r="C34" t="s">
        <v>168</v>
      </c>
      <c r="D34" t="s">
        <v>54</v>
      </c>
      <c r="E34" t="s">
        <v>169</v>
      </c>
      <c r="F34" t="s">
        <v>56</v>
      </c>
      <c r="G34" t="s">
        <v>42</v>
      </c>
      <c r="H34" t="s">
        <v>170</v>
      </c>
      <c r="I34" t="s">
        <v>42</v>
      </c>
      <c r="J34" t="s">
        <v>42</v>
      </c>
      <c r="K34" t="s">
        <v>42</v>
      </c>
      <c r="L34" t="s">
        <v>25</v>
      </c>
      <c r="M34" t="s">
        <v>26</v>
      </c>
      <c r="N34" t="s">
        <v>36</v>
      </c>
      <c r="O34" t="s">
        <v>27</v>
      </c>
      <c r="P34" t="str">
        <f t="shared" si="1"/>
        <v>False</v>
      </c>
      <c r="Q34" t="str">
        <f t="shared" ref="Q34:Q51" si="5">IF(G34="N/A","excel, sql, tableau, power BI", G34)</f>
        <v>excel, sql, tableau, power BI</v>
      </c>
      <c r="R34">
        <f t="shared" si="2"/>
        <v>52890</v>
      </c>
      <c r="S34" t="str">
        <f t="shared" si="3"/>
        <v>No degree mentioned</v>
      </c>
      <c r="T34" t="str">
        <f t="shared" si="4"/>
        <v>False</v>
      </c>
    </row>
    <row r="35" spans="1:20" x14ac:dyDescent="0.3">
      <c r="A35" t="s">
        <v>58</v>
      </c>
      <c r="B35" t="s">
        <v>58</v>
      </c>
      <c r="C35" t="s">
        <v>171</v>
      </c>
      <c r="D35" t="s">
        <v>54</v>
      </c>
      <c r="E35" t="s">
        <v>172</v>
      </c>
      <c r="F35" t="s">
        <v>56</v>
      </c>
      <c r="G35" t="s">
        <v>42</v>
      </c>
      <c r="H35" t="s">
        <v>173</v>
      </c>
      <c r="I35" t="s">
        <v>42</v>
      </c>
      <c r="J35" t="s">
        <v>42</v>
      </c>
      <c r="K35" t="s">
        <v>42</v>
      </c>
      <c r="L35" t="s">
        <v>25</v>
      </c>
      <c r="M35" t="s">
        <v>26</v>
      </c>
      <c r="N35" t="s">
        <v>36</v>
      </c>
      <c r="O35" t="s">
        <v>27</v>
      </c>
      <c r="P35" t="str">
        <f t="shared" si="1"/>
        <v>False</v>
      </c>
      <c r="Q35" t="str">
        <f t="shared" si="5"/>
        <v>excel, sql, tableau, power BI</v>
      </c>
      <c r="R35">
        <f t="shared" si="2"/>
        <v>55551</v>
      </c>
      <c r="S35" t="str">
        <f t="shared" si="3"/>
        <v>No degree mentioned</v>
      </c>
      <c r="T35" t="str">
        <f t="shared" si="4"/>
        <v>False</v>
      </c>
    </row>
    <row r="36" spans="1:20" x14ac:dyDescent="0.3">
      <c r="A36" t="s">
        <v>174</v>
      </c>
      <c r="B36" t="s">
        <v>29</v>
      </c>
      <c r="C36" t="s">
        <v>175</v>
      </c>
      <c r="D36" t="s">
        <v>54</v>
      </c>
      <c r="E36" t="s">
        <v>176</v>
      </c>
      <c r="F36" t="s">
        <v>56</v>
      </c>
      <c r="G36" t="s">
        <v>42</v>
      </c>
      <c r="H36" t="s">
        <v>177</v>
      </c>
      <c r="I36" t="s">
        <v>42</v>
      </c>
      <c r="J36" t="s">
        <v>42</v>
      </c>
      <c r="K36" t="s">
        <v>42</v>
      </c>
      <c r="L36" t="s">
        <v>25</v>
      </c>
      <c r="M36" t="s">
        <v>26</v>
      </c>
      <c r="N36" t="s">
        <v>36</v>
      </c>
      <c r="O36" t="s">
        <v>27</v>
      </c>
      <c r="P36" t="str">
        <f t="shared" si="1"/>
        <v>False</v>
      </c>
      <c r="Q36" t="str">
        <f t="shared" si="5"/>
        <v>excel, sql, tableau, power BI</v>
      </c>
      <c r="R36">
        <f t="shared" si="2"/>
        <v>64542</v>
      </c>
      <c r="S36" t="str">
        <f t="shared" si="3"/>
        <v>No degree mentioned</v>
      </c>
      <c r="T36" t="str">
        <f t="shared" si="4"/>
        <v>False</v>
      </c>
    </row>
    <row r="37" spans="1:20" x14ac:dyDescent="0.3">
      <c r="A37" t="s">
        <v>178</v>
      </c>
      <c r="B37" t="s">
        <v>29</v>
      </c>
      <c r="C37" t="s">
        <v>179</v>
      </c>
      <c r="D37" t="s">
        <v>102</v>
      </c>
      <c r="E37" t="s">
        <v>180</v>
      </c>
      <c r="F37" t="s">
        <v>56</v>
      </c>
      <c r="G37" t="s">
        <v>42</v>
      </c>
      <c r="H37" t="s">
        <v>181</v>
      </c>
      <c r="I37" t="s">
        <v>42</v>
      </c>
      <c r="J37" t="s">
        <v>42</v>
      </c>
      <c r="K37" t="s">
        <v>42</v>
      </c>
      <c r="L37" t="s">
        <v>25</v>
      </c>
      <c r="M37" t="s">
        <v>26</v>
      </c>
      <c r="N37" t="s">
        <v>36</v>
      </c>
      <c r="O37" t="s">
        <v>27</v>
      </c>
      <c r="P37" t="str">
        <f t="shared" si="1"/>
        <v>False</v>
      </c>
      <c r="Q37" t="str">
        <f t="shared" si="5"/>
        <v>excel, sql, tableau, power BI</v>
      </c>
      <c r="R37">
        <f t="shared" si="2"/>
        <v>34121</v>
      </c>
      <c r="S37" t="str">
        <f t="shared" si="3"/>
        <v>No degree mentioned</v>
      </c>
      <c r="T37" t="str">
        <f t="shared" si="4"/>
        <v>False</v>
      </c>
    </row>
    <row r="38" spans="1:20" x14ac:dyDescent="0.3">
      <c r="A38" t="s">
        <v>182</v>
      </c>
      <c r="B38" t="s">
        <v>183</v>
      </c>
      <c r="C38" t="s">
        <v>184</v>
      </c>
      <c r="D38" t="s">
        <v>31</v>
      </c>
      <c r="E38" t="s">
        <v>185</v>
      </c>
      <c r="F38" t="s">
        <v>56</v>
      </c>
      <c r="G38" t="s">
        <v>42</v>
      </c>
      <c r="H38" t="s">
        <v>186</v>
      </c>
      <c r="I38" t="s">
        <v>42</v>
      </c>
      <c r="J38" t="s">
        <v>42</v>
      </c>
      <c r="K38" t="s">
        <v>42</v>
      </c>
      <c r="L38" t="s">
        <v>25</v>
      </c>
      <c r="M38" t="s">
        <v>26</v>
      </c>
      <c r="N38" t="s">
        <v>36</v>
      </c>
      <c r="O38" t="s">
        <v>27</v>
      </c>
      <c r="P38" t="str">
        <f t="shared" si="1"/>
        <v>False</v>
      </c>
      <c r="Q38" t="str">
        <f t="shared" si="5"/>
        <v>excel, sql, tableau, power BI</v>
      </c>
      <c r="R38">
        <f t="shared" si="2"/>
        <v>76794</v>
      </c>
      <c r="S38" t="str">
        <f t="shared" si="3"/>
        <v>No degree mentioned</v>
      </c>
      <c r="T38" t="str">
        <f t="shared" si="4"/>
        <v>False</v>
      </c>
    </row>
    <row r="39" spans="1:20" x14ac:dyDescent="0.3">
      <c r="A39" t="s">
        <v>187</v>
      </c>
      <c r="B39" t="s">
        <v>29</v>
      </c>
      <c r="C39" t="s">
        <v>188</v>
      </c>
      <c r="D39" t="s">
        <v>31</v>
      </c>
      <c r="E39" t="s">
        <v>189</v>
      </c>
      <c r="F39" t="s">
        <v>56</v>
      </c>
      <c r="G39" t="s">
        <v>42</v>
      </c>
      <c r="H39" t="s">
        <v>190</v>
      </c>
      <c r="I39" t="s">
        <v>42</v>
      </c>
      <c r="J39" t="s">
        <v>42</v>
      </c>
      <c r="K39" t="s">
        <v>42</v>
      </c>
      <c r="L39" t="s">
        <v>25</v>
      </c>
      <c r="M39" t="s">
        <v>26</v>
      </c>
      <c r="N39" t="s">
        <v>36</v>
      </c>
      <c r="O39" t="s">
        <v>27</v>
      </c>
      <c r="P39" t="str">
        <f t="shared" si="1"/>
        <v>False</v>
      </c>
      <c r="Q39" t="str">
        <f t="shared" si="5"/>
        <v>excel, sql, tableau, power BI</v>
      </c>
      <c r="R39">
        <f t="shared" si="2"/>
        <v>68788</v>
      </c>
      <c r="S39" t="str">
        <f t="shared" si="3"/>
        <v>No degree mentioned</v>
      </c>
      <c r="T39" t="str">
        <f t="shared" si="4"/>
        <v>False</v>
      </c>
    </row>
    <row r="40" spans="1:20" x14ac:dyDescent="0.3">
      <c r="A40" t="s">
        <v>191</v>
      </c>
      <c r="B40" t="s">
        <v>29</v>
      </c>
      <c r="C40" t="s">
        <v>192</v>
      </c>
      <c r="D40" t="s">
        <v>31</v>
      </c>
      <c r="E40" t="s">
        <v>193</v>
      </c>
      <c r="F40" t="s">
        <v>56</v>
      </c>
      <c r="G40" t="s">
        <v>42</v>
      </c>
      <c r="H40" t="s">
        <v>194</v>
      </c>
      <c r="I40" t="s">
        <v>42</v>
      </c>
      <c r="J40" t="s">
        <v>42</v>
      </c>
      <c r="K40" t="s">
        <v>42</v>
      </c>
      <c r="L40" t="s">
        <v>25</v>
      </c>
      <c r="M40" t="s">
        <v>26</v>
      </c>
      <c r="N40" t="s">
        <v>36</v>
      </c>
      <c r="O40" t="s">
        <v>27</v>
      </c>
      <c r="P40" t="str">
        <f t="shared" si="1"/>
        <v>False</v>
      </c>
      <c r="Q40" t="str">
        <f t="shared" si="5"/>
        <v>excel, sql, tableau, power BI</v>
      </c>
      <c r="R40">
        <f t="shared" si="2"/>
        <v>59790</v>
      </c>
      <c r="S40" t="str">
        <f t="shared" si="3"/>
        <v>No degree mentioned</v>
      </c>
      <c r="T40" t="str">
        <f t="shared" si="4"/>
        <v>False</v>
      </c>
    </row>
    <row r="41" spans="1:20" x14ac:dyDescent="0.3">
      <c r="A41" t="s">
        <v>195</v>
      </c>
      <c r="B41" t="s">
        <v>195</v>
      </c>
      <c r="C41" t="s">
        <v>196</v>
      </c>
      <c r="D41" t="s">
        <v>31</v>
      </c>
      <c r="E41" t="s">
        <v>197</v>
      </c>
      <c r="F41" t="s">
        <v>56</v>
      </c>
      <c r="G41" t="s">
        <v>42</v>
      </c>
      <c r="H41" t="s">
        <v>198</v>
      </c>
      <c r="I41" t="s">
        <v>42</v>
      </c>
      <c r="J41" t="s">
        <v>42</v>
      </c>
      <c r="K41" t="s">
        <v>42</v>
      </c>
      <c r="L41" t="s">
        <v>25</v>
      </c>
      <c r="M41" t="s">
        <v>26</v>
      </c>
      <c r="N41" t="s">
        <v>36</v>
      </c>
      <c r="O41" t="s">
        <v>27</v>
      </c>
      <c r="P41" t="str">
        <f t="shared" si="1"/>
        <v>False</v>
      </c>
      <c r="Q41" t="str">
        <f t="shared" si="5"/>
        <v>excel, sql, tableau, power BI</v>
      </c>
      <c r="R41">
        <f t="shared" si="2"/>
        <v>77203</v>
      </c>
      <c r="S41" t="str">
        <f t="shared" si="3"/>
        <v>No degree mentioned</v>
      </c>
      <c r="T41" t="str">
        <f t="shared" si="4"/>
        <v>False</v>
      </c>
    </row>
    <row r="42" spans="1:20" x14ac:dyDescent="0.3">
      <c r="A42" t="s">
        <v>199</v>
      </c>
      <c r="B42" t="s">
        <v>16</v>
      </c>
      <c r="C42" t="s">
        <v>200</v>
      </c>
      <c r="D42" t="s">
        <v>31</v>
      </c>
      <c r="E42" t="s">
        <v>201</v>
      </c>
      <c r="F42" t="s">
        <v>56</v>
      </c>
      <c r="G42" t="s">
        <v>42</v>
      </c>
      <c r="H42" t="s">
        <v>202</v>
      </c>
      <c r="I42" t="s">
        <v>42</v>
      </c>
      <c r="J42" t="s">
        <v>42</v>
      </c>
      <c r="K42" t="s">
        <v>42</v>
      </c>
      <c r="L42" t="s">
        <v>25</v>
      </c>
      <c r="M42" t="s">
        <v>26</v>
      </c>
      <c r="N42" t="s">
        <v>36</v>
      </c>
      <c r="O42" t="s">
        <v>27</v>
      </c>
      <c r="P42" t="str">
        <f t="shared" si="1"/>
        <v>False</v>
      </c>
      <c r="Q42" t="str">
        <f t="shared" si="5"/>
        <v>excel, sql, tableau, power BI</v>
      </c>
      <c r="R42">
        <f t="shared" si="2"/>
        <v>51034</v>
      </c>
      <c r="S42" t="str">
        <f t="shared" si="3"/>
        <v>No degree mentioned</v>
      </c>
      <c r="T42" t="str">
        <f t="shared" si="4"/>
        <v>False</v>
      </c>
    </row>
    <row r="43" spans="1:20" x14ac:dyDescent="0.3">
      <c r="A43" t="s">
        <v>58</v>
      </c>
      <c r="B43" t="s">
        <v>58</v>
      </c>
      <c r="C43" t="s">
        <v>203</v>
      </c>
      <c r="D43" t="s">
        <v>161</v>
      </c>
      <c r="E43" t="s">
        <v>204</v>
      </c>
      <c r="F43" t="s">
        <v>56</v>
      </c>
      <c r="G43" t="s">
        <v>42</v>
      </c>
      <c r="H43" t="s">
        <v>205</v>
      </c>
      <c r="I43" t="s">
        <v>42</v>
      </c>
      <c r="J43" t="s">
        <v>42</v>
      </c>
      <c r="K43" t="s">
        <v>42</v>
      </c>
      <c r="L43" t="s">
        <v>25</v>
      </c>
      <c r="M43" t="s">
        <v>26</v>
      </c>
      <c r="N43" t="s">
        <v>36</v>
      </c>
      <c r="O43" t="s">
        <v>27</v>
      </c>
      <c r="P43" t="str">
        <f t="shared" si="1"/>
        <v>False</v>
      </c>
      <c r="Q43" t="str">
        <f t="shared" si="5"/>
        <v>excel, sql, tableau, power BI</v>
      </c>
      <c r="R43">
        <f t="shared" si="2"/>
        <v>45362</v>
      </c>
      <c r="S43" t="str">
        <f t="shared" si="3"/>
        <v>No degree mentioned</v>
      </c>
      <c r="T43" t="str">
        <f t="shared" si="4"/>
        <v>False</v>
      </c>
    </row>
    <row r="44" spans="1:20" x14ac:dyDescent="0.3">
      <c r="A44" t="s">
        <v>63</v>
      </c>
      <c r="B44" t="s">
        <v>63</v>
      </c>
      <c r="C44" t="s">
        <v>206</v>
      </c>
      <c r="D44" t="s">
        <v>31</v>
      </c>
      <c r="E44" t="s">
        <v>207</v>
      </c>
      <c r="F44" t="s">
        <v>56</v>
      </c>
      <c r="G44" t="s">
        <v>42</v>
      </c>
      <c r="H44" t="s">
        <v>208</v>
      </c>
      <c r="I44" t="s">
        <v>42</v>
      </c>
      <c r="J44" t="s">
        <v>42</v>
      </c>
      <c r="K44" t="s">
        <v>42</v>
      </c>
      <c r="L44" t="s">
        <v>25</v>
      </c>
      <c r="M44" t="s">
        <v>26</v>
      </c>
      <c r="N44" t="s">
        <v>36</v>
      </c>
      <c r="O44" t="s">
        <v>27</v>
      </c>
      <c r="P44" t="str">
        <f t="shared" si="1"/>
        <v>False</v>
      </c>
      <c r="Q44" t="str">
        <f t="shared" si="5"/>
        <v>excel, sql, tableau, power BI</v>
      </c>
      <c r="R44">
        <f t="shared" si="2"/>
        <v>43438</v>
      </c>
      <c r="S44" t="str">
        <f t="shared" si="3"/>
        <v>No degree mentioned</v>
      </c>
      <c r="T44" t="str">
        <f t="shared" si="4"/>
        <v>False</v>
      </c>
    </row>
    <row r="45" spans="1:20" x14ac:dyDescent="0.3">
      <c r="A45" t="s">
        <v>58</v>
      </c>
      <c r="B45" t="s">
        <v>58</v>
      </c>
      <c r="C45" t="s">
        <v>209</v>
      </c>
      <c r="D45" t="s">
        <v>31</v>
      </c>
      <c r="E45" t="s">
        <v>210</v>
      </c>
      <c r="F45" t="s">
        <v>56</v>
      </c>
      <c r="G45" t="s">
        <v>42</v>
      </c>
      <c r="H45" t="s">
        <v>211</v>
      </c>
      <c r="I45" t="s">
        <v>42</v>
      </c>
      <c r="J45" t="s">
        <v>42</v>
      </c>
      <c r="K45" t="s">
        <v>42</v>
      </c>
      <c r="L45" t="s">
        <v>25</v>
      </c>
      <c r="M45" t="s">
        <v>26</v>
      </c>
      <c r="N45" t="s">
        <v>36</v>
      </c>
      <c r="O45" t="s">
        <v>27</v>
      </c>
      <c r="P45" t="str">
        <f t="shared" si="1"/>
        <v>False</v>
      </c>
      <c r="Q45" t="str">
        <f t="shared" si="5"/>
        <v>excel, sql, tableau, power BI</v>
      </c>
      <c r="R45">
        <f t="shared" si="2"/>
        <v>55963</v>
      </c>
      <c r="S45" t="str">
        <f t="shared" si="3"/>
        <v>No degree mentioned</v>
      </c>
      <c r="T45" t="str">
        <f t="shared" si="4"/>
        <v>False</v>
      </c>
    </row>
    <row r="46" spans="1:20" x14ac:dyDescent="0.3">
      <c r="A46" t="s">
        <v>212</v>
      </c>
      <c r="B46" t="s">
        <v>58</v>
      </c>
      <c r="C46" t="s">
        <v>213</v>
      </c>
      <c r="D46" t="s">
        <v>31</v>
      </c>
      <c r="E46" t="s">
        <v>214</v>
      </c>
      <c r="F46" t="s">
        <v>56</v>
      </c>
      <c r="G46" t="s">
        <v>42</v>
      </c>
      <c r="H46" t="s">
        <v>215</v>
      </c>
      <c r="I46" t="s">
        <v>42</v>
      </c>
      <c r="J46" t="s">
        <v>42</v>
      </c>
      <c r="K46" t="s">
        <v>42</v>
      </c>
      <c r="L46" t="s">
        <v>25</v>
      </c>
      <c r="M46" t="s">
        <v>26</v>
      </c>
      <c r="N46" t="s">
        <v>36</v>
      </c>
      <c r="O46" t="s">
        <v>27</v>
      </c>
      <c r="P46" t="str">
        <f t="shared" si="1"/>
        <v>False</v>
      </c>
      <c r="Q46" t="str">
        <f t="shared" si="5"/>
        <v>excel, sql, tableau, power BI</v>
      </c>
      <c r="R46">
        <f t="shared" si="2"/>
        <v>41813</v>
      </c>
      <c r="S46" t="str">
        <f t="shared" si="3"/>
        <v>No degree mentioned</v>
      </c>
      <c r="T46" t="str">
        <f t="shared" si="4"/>
        <v>False</v>
      </c>
    </row>
    <row r="47" spans="1:20" x14ac:dyDescent="0.3">
      <c r="A47" t="s">
        <v>216</v>
      </c>
      <c r="B47" t="s">
        <v>45</v>
      </c>
      <c r="C47" t="s">
        <v>217</v>
      </c>
      <c r="D47" t="s">
        <v>31</v>
      </c>
      <c r="E47" t="s">
        <v>218</v>
      </c>
      <c r="F47" t="s">
        <v>56</v>
      </c>
      <c r="G47" t="s">
        <v>42</v>
      </c>
      <c r="H47" t="s">
        <v>219</v>
      </c>
      <c r="I47" t="s">
        <v>42</v>
      </c>
      <c r="J47" t="s">
        <v>42</v>
      </c>
      <c r="K47" t="s">
        <v>42</v>
      </c>
      <c r="L47" t="s">
        <v>25</v>
      </c>
      <c r="M47" t="s">
        <v>26</v>
      </c>
      <c r="N47" t="s">
        <v>36</v>
      </c>
      <c r="O47" t="s">
        <v>27</v>
      </c>
      <c r="P47" t="str">
        <f t="shared" si="1"/>
        <v>False</v>
      </c>
      <c r="Q47" t="str">
        <f t="shared" si="5"/>
        <v>excel, sql, tableau, power BI</v>
      </c>
      <c r="R47">
        <f t="shared" si="2"/>
        <v>50855</v>
      </c>
      <c r="S47" t="str">
        <f t="shared" si="3"/>
        <v>No degree mentioned</v>
      </c>
      <c r="T47" t="str">
        <f t="shared" si="4"/>
        <v>False</v>
      </c>
    </row>
    <row r="48" spans="1:20" x14ac:dyDescent="0.3">
      <c r="A48" t="s">
        <v>220</v>
      </c>
      <c r="B48" t="s">
        <v>29</v>
      </c>
      <c r="C48" t="s">
        <v>110</v>
      </c>
      <c r="D48" t="s">
        <v>102</v>
      </c>
      <c r="E48" t="s">
        <v>221</v>
      </c>
      <c r="F48" t="s">
        <v>56</v>
      </c>
      <c r="G48" t="s">
        <v>42</v>
      </c>
      <c r="H48" t="s">
        <v>222</v>
      </c>
      <c r="I48" t="s">
        <v>42</v>
      </c>
      <c r="J48" t="s">
        <v>42</v>
      </c>
      <c r="K48" t="s">
        <v>42</v>
      </c>
      <c r="L48" t="s">
        <v>25</v>
      </c>
      <c r="M48" t="s">
        <v>26</v>
      </c>
      <c r="N48" t="s">
        <v>36</v>
      </c>
      <c r="O48" t="s">
        <v>27</v>
      </c>
      <c r="P48" t="str">
        <f t="shared" si="1"/>
        <v>False</v>
      </c>
      <c r="Q48" t="str">
        <f t="shared" si="5"/>
        <v>excel, sql, tableau, power BI</v>
      </c>
      <c r="R48">
        <f t="shared" si="2"/>
        <v>54629</v>
      </c>
      <c r="S48" t="str">
        <f t="shared" si="3"/>
        <v>No degree mentioned</v>
      </c>
      <c r="T48" t="str">
        <f t="shared" si="4"/>
        <v>False</v>
      </c>
    </row>
    <row r="49" spans="1:20" x14ac:dyDescent="0.3">
      <c r="A49" t="s">
        <v>223</v>
      </c>
      <c r="B49" t="s">
        <v>29</v>
      </c>
      <c r="C49" t="s">
        <v>164</v>
      </c>
      <c r="D49" t="s">
        <v>54</v>
      </c>
      <c r="E49" t="s">
        <v>224</v>
      </c>
      <c r="F49" t="s">
        <v>56</v>
      </c>
      <c r="G49" t="s">
        <v>42</v>
      </c>
      <c r="H49" t="s">
        <v>225</v>
      </c>
      <c r="I49" t="s">
        <v>42</v>
      </c>
      <c r="J49" t="s">
        <v>42</v>
      </c>
      <c r="K49" t="s">
        <v>42</v>
      </c>
      <c r="L49" t="s">
        <v>25</v>
      </c>
      <c r="M49" t="s">
        <v>26</v>
      </c>
      <c r="N49" t="s">
        <v>36</v>
      </c>
      <c r="O49" t="s">
        <v>27</v>
      </c>
      <c r="P49" t="str">
        <f t="shared" si="1"/>
        <v>False</v>
      </c>
      <c r="Q49" t="str">
        <f t="shared" si="5"/>
        <v>excel, sql, tableau, power BI</v>
      </c>
      <c r="R49">
        <f t="shared" si="2"/>
        <v>46371</v>
      </c>
      <c r="S49" t="str">
        <f t="shared" si="3"/>
        <v>No degree mentioned</v>
      </c>
      <c r="T49" t="str">
        <f t="shared" si="4"/>
        <v>False</v>
      </c>
    </row>
    <row r="50" spans="1:20" x14ac:dyDescent="0.3">
      <c r="A50" t="s">
        <v>226</v>
      </c>
      <c r="B50" t="s">
        <v>16</v>
      </c>
      <c r="C50" t="s">
        <v>227</v>
      </c>
      <c r="D50" t="s">
        <v>54</v>
      </c>
      <c r="E50" t="s">
        <v>228</v>
      </c>
      <c r="F50" t="s">
        <v>56</v>
      </c>
      <c r="G50" t="s">
        <v>42</v>
      </c>
      <c r="H50" t="s">
        <v>229</v>
      </c>
      <c r="I50" t="s">
        <v>42</v>
      </c>
      <c r="J50" t="s">
        <v>42</v>
      </c>
      <c r="K50" t="s">
        <v>42</v>
      </c>
      <c r="L50" t="s">
        <v>25</v>
      </c>
      <c r="M50" t="s">
        <v>26</v>
      </c>
      <c r="N50" t="s">
        <v>36</v>
      </c>
      <c r="O50" t="s">
        <v>27</v>
      </c>
      <c r="P50" t="str">
        <f t="shared" si="1"/>
        <v>False</v>
      </c>
      <c r="Q50" t="str">
        <f t="shared" si="5"/>
        <v>excel, sql, tableau, power BI</v>
      </c>
      <c r="R50">
        <f t="shared" si="2"/>
        <v>52511</v>
      </c>
      <c r="S50" t="str">
        <f t="shared" si="3"/>
        <v>No degree mentioned</v>
      </c>
      <c r="T50" t="str">
        <f t="shared" si="4"/>
        <v>False</v>
      </c>
    </row>
    <row r="51" spans="1:20" x14ac:dyDescent="0.3">
      <c r="A51" t="s">
        <v>230</v>
      </c>
      <c r="B51" t="s">
        <v>183</v>
      </c>
      <c r="C51" t="s">
        <v>231</v>
      </c>
      <c r="D51" t="s">
        <v>54</v>
      </c>
      <c r="E51" t="s">
        <v>232</v>
      </c>
      <c r="F51" t="s">
        <v>56</v>
      </c>
      <c r="G51" t="s">
        <v>42</v>
      </c>
      <c r="H51" t="s">
        <v>233</v>
      </c>
      <c r="I51" t="s">
        <v>42</v>
      </c>
      <c r="J51" t="s">
        <v>42</v>
      </c>
      <c r="K51" t="s">
        <v>42</v>
      </c>
      <c r="L51" t="s">
        <v>25</v>
      </c>
      <c r="M51" t="s">
        <v>26</v>
      </c>
      <c r="N51" t="s">
        <v>36</v>
      </c>
      <c r="O51" t="s">
        <v>27</v>
      </c>
      <c r="P51" t="str">
        <f t="shared" si="1"/>
        <v>False</v>
      </c>
      <c r="Q51" t="str">
        <f t="shared" si="5"/>
        <v>excel, sql, tableau, power BI</v>
      </c>
      <c r="R51">
        <f t="shared" si="2"/>
        <v>64490</v>
      </c>
      <c r="S51" t="str">
        <f t="shared" si="3"/>
        <v>No degree mentioned</v>
      </c>
      <c r="T51" t="str">
        <f t="shared" si="4"/>
        <v>False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HARJOT SINGH</cp:lastModifiedBy>
  <dcterms:created xsi:type="dcterms:W3CDTF">2025-11-19T08:17:57Z</dcterms:created>
  <dcterms:modified xsi:type="dcterms:W3CDTF">2025-12-03T09:50:23Z</dcterms:modified>
</cp:coreProperties>
</file>